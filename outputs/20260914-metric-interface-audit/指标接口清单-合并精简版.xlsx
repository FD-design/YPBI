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abc4e8775b430a" /></Relationships>
</file>

<file path=xl/workbook.xml><?xml version="1.0" encoding="utf-8"?>
<x:workbook xmlns:x="http://schemas.openxmlformats.org/spreadsheetml/2006/main">
  <x:sheets>
    <x:sheet xmlns:r="http://schemas.openxmlformats.org/officeDocument/2006/relationships" name="接口能力清单" sheetId="1" r:id="R0923cab859b54fd3"/>
    <x:sheet xmlns:r="http://schemas.openxmlformats.org/officeDocument/2006/relationships" name="指标定义" sheetId="2" r:id="R922e06d589c44ad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color rgb="FF233246"/>
      <x:name val="Arial"/>
    </x:font>
    <x:font>
      <x:b/>
      <x:sz val="15"/>
      <x:color rgb="FF233246"/>
      <x:name val="Arial"/>
    </x:font>
    <x:font>
      <x:sz val="10"/>
      <x:color rgb="FF566B80"/>
      <x:name val="Arial"/>
    </x:font>
    <x:font>
      <x:b/>
      <x:sz val="11"/>
      <x:color rgb="FFFFFFFF"/>
      <x:name val="Arial"/>
    </x:font>
    <x:font>
      <x:b/>
      <x:sz val="11"/>
      <x:color rgb="FF22623B"/>
      <x:name val="Arial"/>
    </x:font>
    <x:font>
      <x:b/>
      <x:sz val="11"/>
      <x:color rgb="FF855E16"/>
      <x:name val="Arial"/>
    </x:font>
    <x:font>
      <x:b/>
      <x:sz val="11"/>
      <x:color rgb="FF9B3030"/>
      <x:name val="Arial"/>
    </x:font>
  </x:fonts>
  <x:fills count="7">
    <x:fill>
      <x:patternFill patternType="none"/>
    </x:fill>
    <x:fill>
      <x:patternFill patternType="gray125"/>
    </x:fill>
    <x:fill>
      <x:patternFill patternType="solid">
        <x:fgColor rgb="FFFFFFFF"/>
      </x:patternFill>
    </x:fill>
    <x:fill>
      <x:patternFill patternType="solid">
        <x:fgColor rgb="FF243B53"/>
      </x:patternFill>
    </x:fill>
    <x:fill>
      <x:patternFill patternType="solid">
        <x:fgColor rgb="FFE3F2E7"/>
      </x:patternFill>
    </x:fill>
    <x:fill>
      <x:patternFill patternType="solid">
        <x:fgColor rgb="FFFFF0CC"/>
      </x:patternFill>
    </x:fill>
    <x:fill>
      <x:patternFill patternType="solid">
        <x:fgColor rgb="FFFCE5E5"/>
      </x:patternFill>
    </x:fill>
  </x:fills>
  <x:borders count="6">
    <x:border/>
    <x:border>
      <x:right style="thin">
        <x:color rgb="FFFFFFFF"/>
      </x:right>
    </x:border>
    <x:border>
      <x:left style="thin">
        <x:color rgb="FFFFFFFF"/>
      </x:left>
      <x:right style="thin">
        <x:color rgb="FFFFFFFF"/>
      </x:right>
    </x:border>
    <x:border>
      <x:left style="thin">
        <x:color rgb="FFFFFFFF"/>
      </x:left>
    </x:border>
    <x:border>
      <x:bottom style="thin">
        <x:color rgb="FFB8C6D6"/>
      </x:bottom>
    </x:border>
    <x:border>
      <x:top style="medium">
        <x:color rgb="FF8DA6C0"/>
      </x:top>
      <x:bottom style="thin">
        <x:color rgb="FFB8C6D6"/>
      </x:bottom>
    </x:border>
  </x:borders>
  <x:cellStyleXfs count="1">
    <x:xf numFmtId="0" fontId="0" fillId="0" borderId="0"/>
  </x:cellStyleXfs>
  <x:cellXfs count="31">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2"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4" borderId="0" xfId="0" applyNumberFormat="1" applyFont="1" applyFill="1" applyBorder="1"/>
    <x:xf numFmtId="0" fontId="5" fillId="4" borderId="0" xfId="0" applyNumberFormat="1" applyFont="1" applyFill="1" applyBorder="1"/>
    <x:xf numFmtId="0" fontId="1" fillId="5" borderId="0" xfId="0" applyNumberFormat="1" applyFont="1" applyFill="1" applyBorder="1"/>
    <x:xf numFmtId="0" fontId="6" fillId="5" borderId="0" xfId="0" applyNumberFormat="1" applyFont="1" applyFill="1" applyBorder="1"/>
    <x:xf numFmtId="0" fontId="1" fillId="6" borderId="0" xfId="0" applyNumberFormat="1" applyFont="1" applyFill="1" applyBorder="1"/>
    <x:xf numFmtId="0" fontId="7" fillId="6" borderId="0" xfId="0" applyNumberFormat="1" applyFont="1" applyFill="1" applyBorder="1"/>
    <x:xf numFmtId="0" fontId="1" fillId="4" borderId="5"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1" fillId="6" borderId="4" xfId="0" applyNumberFormat="1" applyFont="1" applyFill="1" applyBorder="1" applyAlignment="1">
      <x:alignment vertical="center" wrapText="1"/>
    </x:xf>
    <x:xf numFmtId="0" fontId="7" fillId="6" borderId="4" xfId="0" applyNumberFormat="1" applyFont="1" applyFill="1" applyBorder="1" applyAlignment="1">
      <x:alignment vertical="center" wrapText="1"/>
    </x:xf>
    <x:xf numFmtId="0" fontId="1" fillId="5" borderId="5"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1" fillId="6" borderId="5" xfId="0" applyNumberFormat="1" applyFont="1" applyFill="1" applyBorder="1" applyAlignment="1">
      <x:alignment vertical="center" wrapText="1"/>
    </x:xf>
    <x:xf numFmtId="0" fontId="7" fillId="6" borderId="5" xfId="0" applyNumberFormat="1" applyFont="1" applyFill="1" applyBorder="1" applyAlignment="1">
      <x:alignment vertical="center" wrapText="1"/>
    </x:xf>
    <x:xf numFmtId="0" fontId="1" fillId="5" borderId="4" xfId="0" applyNumberFormat="1" applyFont="1" applyFill="1" applyBorder="1" applyAlignment="1">
      <x:alignment vertical="center" wrapText="1"/>
    </x:xf>
    <x:xf numFmtId="0" fontId="6" fillId="5" borderId="4" xfId="0" applyNumberFormat="1" applyFont="1" applyFill="1" applyBorder="1" applyAlignment="1">
      <x:alignment vertical="center" wrapText="1"/>
    </x:xf>
  </x:cellXfs>
  <x:cellStyles count="1">
    <x:cellStyle name="Normal" xfId="0"/>
  </x:cellStyles>
  <x:dxfs count="4">
    <x:dxf>
      <x:font>
        <x:b/>
        <x:color rgb="FF22623B"/>
      </x:font>
      <x:fill>
        <x:patternFill patternType="solid">
          <x:bgColor rgb="FFE3F2E7"/>
        </x:patternFill>
      </x:fill>
    </x:dxf>
    <x:dxf>
      <x:font>
        <x:b/>
        <x:color rgb="FF855E16"/>
      </x:font>
      <x:fill>
        <x:patternFill patternType="solid">
          <x:bgColor rgb="FFFFF0CC"/>
        </x:patternFill>
      </x:fill>
    </x:dxf>
    <x:dxf>
      <x:font>
        <x:b/>
        <x:color rgb="FF9B3030"/>
      </x:font>
      <x:fill>
        <x:patternFill patternType="solid">
          <x:bgColor rgb="FFFCE5E5"/>
        </x:patternFill>
      </x:fill>
    </x:dxf>
    <x:dxf>
      <x:font>
        <x:b/>
        <x:color rgb="FF855E16"/>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c07397078f4b98" /><Relationship Type="http://schemas.openxmlformats.org/officeDocument/2006/relationships/theme" Target="/xl/theme/theme1.xml" Id="R9b8a372b446a46ff" /><Relationship Type="http://schemas.openxmlformats.org/officeDocument/2006/relationships/sharedStrings" Target="/xl/sharedStrings.xml" Id="R686bf2acf50f4fa0" /><Relationship Type="http://schemas.openxmlformats.org/officeDocument/2006/relationships/worksheet" Target="/xl/worksheets/sheet1.xml" Id="R0923cab859b54fd3" /><Relationship Type="http://schemas.openxmlformats.org/officeDocument/2006/relationships/worksheet" Target="/xl/worksheets/sheet2.xml" Id="R922e06d589c44ade" /></Relationships>
</file>

<file path=xl/tables/table1.xml><?xml version="1.0" encoding="utf-8"?>
<x:table xmlns:x="http://schemas.openxmlformats.org/spreadsheetml/2006/main" id="1" name="MetricDefinitions" displayName="MetricDefinitions" ref="A7:P120" headerRowCount="1" totalsRowCount="0" totalsRowShown="0">
  <x:autoFilter ref="A7:P120"/>
  <x:tableColumns count="16">
    <x:tableColumn id="1" name="编号"/>
    <x:tableColumn id="2" name="指标"/>
    <x:tableColumn id="3" name="类别"/>
    <x:tableColumn id="4" name="当前定义"/>
    <x:tableColumn id="5" name="计算公式"/>
    <x:tableColumn id="6" name="单位"/>
    <x:tableColumn id="7" name="去重方式"/>
    <x:tableColumn id="8" name="统计日期与维度"/>
    <x:tableColumn id="9" name="排除项"/>
    <x:tableColumn id="10" name="已知口径问题"/>
    <x:tableColumn id="11" name="当前接口计算"/>
    <x:tableColumn id="12" name="补齐／确认要求"/>
    <x:tableColumn id="13" name="所属看板"/>
    <x:tableColumn id="14" name="核对依据"/>
    <x:tableColumn id="15" name="现有接口与字段"/>
    <x:tableColumn id="16" name="配套输入取数范围"/>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4cd1eb9a074d3d" /></Relationships>
</file>

<file path=xl/worksheets/sheet1.xml><?xml version="1.0" encoding="utf-8"?>
<x:worksheet xmlns:x="http://schemas.openxmlformats.org/spreadsheetml/2006/main">
  <x:sheetPr>
    <x:tabColor rgb="FF2E63AF"/>
  </x:sheetPr>
  <x:sheetViews>
    <x:sheetView showGridLines="0" workbookViewId="0">
      <x:pane xSplit="2" ySplit="7" topLeftCell="C8" activePane="bottomRight" state="frozen"/>
    </x:sheetView>
  </x:sheetViews>
  <x:sheetFormatPr defaultRowHeight="15"/>
  <x:cols>
    <x:col min="1" max="1" width="14.4399995803833" hidden="0" customWidth="1"/>
    <x:col min="2" max="2" width="24.440000534057617" hidden="0" customWidth="1"/>
    <x:col min="3" max="3" width="11.670000076293945" hidden="0" customWidth="1"/>
    <x:col min="4" max="4" width="50.560001373291016" hidden="0" customWidth="1"/>
    <x:col min="5" max="5" width="30.559999465942383" hidden="0" customWidth="1"/>
    <x:col min="6" max="6" width="38.88999938964844" hidden="0" customWidth="1"/>
    <x:col min="7" max="7" width="33.33000183105469" hidden="0" customWidth="1"/>
    <x:col min="8" max="8" width="37.779998779296875" hidden="0" customWidth="1"/>
    <x:col min="9" max="9" width="27.780000686645508" hidden="0" customWidth="1"/>
    <x:col min="10" max="10" width="45" hidden="0" customWidth="1"/>
  </x:cols>
  <x:sheetData>
    <x:row r="1" ht="9" customHeight="1">
      <x:c r="A1" s="1"/>
      <x:c r="B1" s="1"/>
      <x:c r="C1" s="1"/>
      <x:c r="D1" s="1"/>
      <x:c r="E1" s="1"/>
      <x:c r="F1" s="1"/>
      <x:c r="G1" s="1"/>
      <x:c r="H1" s="1"/>
      <x:c r="I1" s="1"/>
      <x:c r="J1" s="1"/>
    </x:row>
    <x:row r="2" ht="30" customHeight="1">
      <x:c r="A2" s="2" t="str">
        <x:v>指标接口支持清单</x:v>
      </x:c>
      <x:c r="B2" s="1"/>
      <x:c r="C2" s="1"/>
      <x:c r="D2" s="1"/>
      <x:c r="E2" s="1"/>
      <x:c r="F2" s="1"/>
      <x:c r="G2" s="1"/>
      <x:c r="H2" s="1"/>
      <x:c r="I2" s="1"/>
      <x:c r="J2" s="1"/>
    </x:row>
    <x:row r="3" ht="28" customHeight="1">
      <x:c r="A3" s="4" t="str">
        <x:v>同序号的范围与时间对应。日均、可加合计和日对比由BI计算；开发补所需输入。计算基数归入所属指标，接口与公式见定义表。</x:v>
      </x:c>
      <x:c r="B3" s="4"/>
      <x:c r="C3" s="4"/>
      <x:c r="D3" s="4"/>
      <x:c r="E3" s="4"/>
      <x:c r="F3" s="4"/>
      <x:c r="G3" s="4"/>
      <x:c r="H3" s="4"/>
      <x:c r="I3" s="1"/>
      <x:c r="J3" s="1"/>
    </x:row>
    <x:row r="4" ht="28" customHeight="1">
      <x:c r="A4" s="16" t="str">
        <x:v>支持行</x:v>
      </x:c>
      <x:c r="B4" s="16" t="n">
        <x:f>COUNTIF(C8:C166,"支持")</x:f>
        <x:v>36</x:v>
      </x:c>
      <x:c r="C4" s="18" t="str">
        <x:v>部分支持行</x:v>
      </x:c>
      <x:c r="D4" s="18" t="n">
        <x:f>COUNTIF(C8:C166,"部分支持")</x:f>
        <x:v>11</x:v>
      </x:c>
      <x:c r="E4" s="20" t="str">
        <x:v>未支持行</x:v>
      </x:c>
      <x:c r="F4" s="20" t="n">
        <x:f>COUNTIF(C8:C166,"未支持")</x:f>
        <x:v>110</x:v>
      </x:c>
      <x:c r="G4" s="1" t="str">
        <x:v>待确认行</x:v>
      </x:c>
      <x:c r="H4" s="1" t="n">
        <x:f>COUNTIF(C8:C166,"待确认")</x:f>
        <x:v>2</x:v>
      </x:c>
      <x:c r="I4" s="1"/>
      <x:c r="J4" s="1"/>
    </x:row>
    <x:row r="5" ht="24" customHeight="1">
      <x:c r="A5" s="3" t="str">
        <x:v>绿：支持　黄：部分支持／待确认　红：未支持　｜　颜色表示查询能力；已接数据仍需业务验数。</x:v>
      </x:c>
      <x:c r="B5" s="1"/>
      <x:c r="C5" s="1"/>
      <x:c r="D5" s="1"/>
      <x:c r="E5" s="1"/>
      <x:c r="F5" s="1"/>
      <x:c r="G5" s="1"/>
      <x:c r="H5" s="1"/>
      <x:c r="I5" s="1"/>
      <x:c r="J5" s="1"/>
    </x:row>
    <x:row r="6" ht="9" customHeight="1">
      <x:c r="A6" s="1"/>
      <x:c r="B6" s="1"/>
      <x:c r="C6" s="1"/>
      <x:c r="D6" s="1"/>
      <x:c r="E6" s="1"/>
      <x:c r="F6" s="1"/>
      <x:c r="G6" s="1"/>
      <x:c r="H6" s="1"/>
      <x:c r="I6" s="1"/>
      <x:c r="J6" s="1"/>
    </x:row>
    <x:row r="7" ht="38" customHeight="1">
      <x:c r="A7" s="10" t="str">
        <x:v>编号</x:v>
      </x:c>
      <x:c r="B7" s="11" t="str">
        <x:v>指标</x:v>
      </x:c>
      <x:c r="C7" s="11" t="str">
        <x:v>支持情况</x:v>
      </x:c>
      <x:c r="D7" s="11" t="str">
        <x:v>查询范围</x:v>
      </x:c>
      <x:c r="E7" s="11" t="str">
        <x:v>时间能力</x:v>
      </x:c>
      <x:c r="F7" s="11" t="str">
        <x:v>开发需补的数据／BI复用</x:v>
      </x:c>
      <x:c r="G7" s="11" t="str">
        <x:v>筛选／分组条件</x:v>
      </x:c>
      <x:c r="H7" s="11" t="str">
        <x:v>接口需返回的数据</x:v>
      </x:c>
      <x:c r="I7" s="11" t="str">
        <x:v>所属看板</x:v>
      </x:c>
      <x:c r="J7" s="12" t="str">
        <x:v>补齐后的效果／取数结果</x:v>
      </x:c>
    </x:row>
    <x:row r="8" ht="78" customHeight="1">
      <x:c r="A8" s="14" t="str">
        <x:v>M001</x:v>
      </x:c>
      <x:c r="B8" s="14" t="str">
        <x:v>落地页访问次数</x:v>
      </x:c>
      <x:c r="C8" s="22" t="str">
        <x:v>支持</x:v>
      </x:c>
      <x:c r="D8" s="14" t="str">
        <x:v>总体</x:v>
      </x:c>
      <x:c r="E8" s="14" t="str">
        <x:v>单日、逐日趋势、区间合计、日均、日对比</x:v>
      </x:c>
      <x:c r="F8" s="14" t="str">
        <x:v>现有数据与BI计算已支持，无需新增接口；待业务验数。</x:v>
      </x:c>
      <x:c r="G8" s="14" t="str">
        <x:v>业务平台及日期</x:v>
      </x:c>
      <x:c r="H8" s="14" t="str">
        <x:v>数值
逐日数值、日期及完整性标记（真实0与缺失分开）
当前日、前一天、上周同日的日期及数值</x:v>
      </x:c>
      <x:c r="I8" s="14" t="str">
        <x:v>核心经营总览；获客与新增</x:v>
      </x:c>
      <x:c r="J8" s="14" t="str">
        <x:v>已支持：
按对应范围查看每日值及趋势；BI累加每日值，得到所选区间合计；BI算日均，缺失日期不补0；BI计算较前一天、上周同日的涨跌</x:v>
      </x:c>
    </x:row>
    <x:row r="9" ht="62" customHeight="1">
      <x:c r="A9" s="13"/>
      <x:c r="B9" s="13"/>
      <x:c r="C9" s="24" t="str">
        <x:v>未支持</x:v>
      </x:c>
      <x:c r="D9" s="13" t="str">
        <x:v>下载目标；来源渠道</x:v>
      </x:c>
      <x:c r="E9" s="13" t="str">
        <x:v>单日、逐日趋势、区间合计、日均</x:v>
      </x:c>
      <x:c r="F9" s="13" t="str">
        <x:v>补对应维度的完整每日数据（含日期与完整性）</x:v>
      </x:c>
      <x:c r="G9" s="13" t="str">
        <x:v>下载目标；来源渠道</x:v>
      </x:c>
      <x:c r="H9" s="13" t="str">
        <x:v>数值
逐日数值、日期及完整性标记（真实0与缺失分开）</x:v>
      </x:c>
      <x:c r="I9" s="13" t="str">
        <x:v>获客与新增</x:v>
      </x:c>
      <x:c r="J9" s="13" t="str">
        <x:v>补齐并接入BI后：
按对应范围查看每日值及趋势；BI累加每日值，得到所选区间合计；BI算日均，缺失日期不补0</x:v>
      </x:c>
    </x:row>
    <x:row r="10" ht="46" customHeight="1">
      <x:c r="A10" s="14" t="str">
        <x:v>M002</x:v>
      </x:c>
      <x:c r="B10" s="14" t="str">
        <x:v>落地页访问IP数（去重）</x:v>
      </x:c>
      <x:c r="C10" s="26" t="str">
        <x:v>部分支持</x:v>
      </x:c>
      <x:c r="D10" s="14" t="str">
        <x:v>总体</x:v>
      </x:c>
      <x:c r="E10" s="14" t="str">
        <x:v>单日、逐日趋势</x:v>
      </x:c>
      <x:c r="F10" s="14" t="str">
        <x:v>BI复用已有每日IP输入计算并展示；无需重复接口</x:v>
      </x:c>
      <x:c r="G10" s="14" t="str">
        <x:v>业务平台及日期</x:v>
      </x:c>
      <x:c r="H10" s="14" t="str">
        <x:v>数值</x:v>
      </x:c>
      <x:c r="I10" s="14" t="str">
        <x:v>获客与新增</x:v>
      </x:c>
      <x:c r="J10" s="14" t="str">
        <x:v>补齐并接入BI后：
按对应范围查看每日值及趋势</x:v>
      </x:c>
    </x:row>
    <x:row r="11" ht="94" customHeight="1">
      <x:c r="A11" s="13"/>
      <x:c r="B11" s="13"/>
      <x:c r="C11" s="24" t="str">
        <x:v>未支持</x:v>
      </x:c>
      <x:c r="D11" s="13" t="str">
        <x:v>1. 总体
2. 下载目标；来源渠道</x:v>
      </x:c>
      <x:c r="E11" s="13" t="str">
        <x:v>1. 区间去重IP数、日均
2. 单日、逐日趋势、区间去重IP数、日均</x:v>
      </x:c>
      <x:c r="F11" s="13" t="str">
        <x:v>1）补区间IP去重查询；不能累加每日IP数；BI复用已有每日IP输入计算并展示；无需重复接口
2）补对应维度的完整每日数据（含日期与完整性）；补区间IP去重查询；不能累加每日IP数</x:v>
      </x:c>
      <x:c r="G11" s="13" t="str">
        <x:v>下载目标；来源渠道</x:v>
      </x:c>
      <x:c r="H11" s="13" t="str">
        <x:v>区间去重IP数（同一IP整个区间只计一次）
逐日数值、日期及完整性标记（真实0与缺失分开）
数值</x:v>
      </x:c>
      <x:c r="I11" s="13" t="str">
        <x:v>获客与新增</x:v>
      </x:c>
      <x:c r="J11" s="13" t="str">
        <x:v>补齐并接入BI后：
1）整段时间去重IP数，同一IP只计一次；BI算日均，缺失日期不补0
2）按对应范围查看每日值及趋势；整段时间去重IP数，同一IP只计一次；BI算日均，缺失日期不补0</x:v>
      </x:c>
    </x:row>
    <x:row r="12" ht="78" customHeight="1">
      <x:c r="A12" s="14" t="str">
        <x:v>M003</x:v>
      </x:c>
      <x:c r="B12" s="14" t="str">
        <x:v>落地页下载点击次数</x:v>
      </x:c>
      <x:c r="C12" s="22" t="str">
        <x:v>支持</x:v>
      </x:c>
      <x:c r="D12" s="14" t="str">
        <x:v>总体</x:v>
      </x:c>
      <x:c r="E12" s="14" t="str">
        <x:v>单日、逐日趋势、区间合计、日均、日对比</x:v>
      </x:c>
      <x:c r="F12" s="14" t="str">
        <x:v>现有数据与BI计算已支持，无需新增接口；待业务验数。</x:v>
      </x:c>
      <x:c r="G12" s="14" t="str">
        <x:v>业务平台及日期</x:v>
      </x:c>
      <x:c r="H12" s="14" t="str">
        <x:v>数值
逐日数值、日期及完整性标记（真实0与缺失分开）
当前日、前一天、上周同日的日期及数值</x:v>
      </x:c>
      <x:c r="I12" s="14" t="str">
        <x:v>核心经营总览；获客与新增</x:v>
      </x:c>
      <x:c r="J12" s="14" t="str">
        <x:v>已支持：
按对应范围查看每日值及趋势；BI累加每日值，得到所选区间合计；BI算日均，缺失日期不补0；BI计算较前一天、上周同日的涨跌</x:v>
      </x:c>
    </x:row>
    <x:row r="13" ht="62" customHeight="1">
      <x:c r="A13" s="13"/>
      <x:c r="B13" s="13"/>
      <x:c r="C13" s="24" t="str">
        <x:v>未支持</x:v>
      </x:c>
      <x:c r="D13" s="13" t="str">
        <x:v>下载目标；来源渠道</x:v>
      </x:c>
      <x:c r="E13" s="13" t="str">
        <x:v>单日、逐日趋势、区间合计、日均</x:v>
      </x:c>
      <x:c r="F13" s="13" t="str">
        <x:v>补对应维度的完整每日数据（含日期与完整性）</x:v>
      </x:c>
      <x:c r="G13" s="13" t="str">
        <x:v>下载目标；来源渠道</x:v>
      </x:c>
      <x:c r="H13" s="13" t="str">
        <x:v>数值
逐日数值、日期及完整性标记（真实0与缺失分开）</x:v>
      </x:c>
      <x:c r="I13" s="13" t="str">
        <x:v>获客与新增</x:v>
      </x:c>
      <x:c r="J13" s="13" t="str">
        <x:v>补齐并接入BI后：
按对应范围查看每日值及趋势；BI累加每日值，得到所选区间合计；BI算日均，缺失日期不补0</x:v>
      </x:c>
    </x:row>
    <x:row r="14" ht="62" customHeight="1">
      <x:c r="A14" s="14" t="str">
        <x:v>M005</x:v>
      </x:c>
      <x:c r="B14" s="14" t="str">
        <x:v>访问-下载点击转化率</x:v>
      </x:c>
      <x:c r="C14" s="22" t="str">
        <x:v>支持</x:v>
      </x:c>
      <x:c r="D14" s="14" t="str">
        <x:v>总体</x:v>
      </x:c>
      <x:c r="E14" s="14" t="str">
        <x:v>单日、逐日趋势、日对比</x:v>
      </x:c>
      <x:c r="F14" s="14" t="str">
        <x:v>现有数据与BI计算已支持，无需新增接口；待业务验数。</x:v>
      </x:c>
      <x:c r="G14" s="14" t="str">
        <x:v>业务平台及日期</x:v>
      </x:c>
      <x:c r="H14" s="14" t="str">
        <x:v>数值、分子、分母
当前日、前一天、上周同日的日期及数值</x:v>
      </x:c>
      <x:c r="I14" s="14" t="str">
        <x:v>核心经营总览；获客与新增</x:v>
      </x:c>
      <x:c r="J14" s="14" t="str">
        <x:v>已支持：
按对应范围查看每日值及趋势；BI计算较前一天、上周同日的涨跌</x:v>
      </x:c>
    </x:row>
    <x:row r="15" ht="78" customHeight="1">
      <x:c r="A15" s="13"/>
      <x:c r="B15" s="13"/>
      <x:c r="C15" s="24" t="str">
        <x:v>未支持</x:v>
      </x:c>
      <x:c r="D15" s="13" t="str">
        <x:v>1. 总体
2. 下载目标；来源渠道</x:v>
      </x:c>
      <x:c r="E15" s="13" t="str">
        <x:v>1. 区间转化率／比率
2. 单日、逐日趋势、区间转化率／比率</x:v>
      </x:c>
      <x:c r="F15" s="13" t="str">
        <x:v>1）复用每日下载点击、访问次数，BI求和后相除
2）补对应维度的完整每日数据（含日期与完整性）；补对应维度每日下载点击与访问次数，BI求和后相除</x:v>
      </x:c>
      <x:c r="G15" s="13" t="str">
        <x:v>下载目标；来源渠道</x:v>
      </x:c>
      <x:c r="H15" s="13" t="str">
        <x:v>逐日下载点击次数、访问次数及日期完整性
数值、分子、分母</x:v>
      </x:c>
      <x:c r="I15" s="13" t="str">
        <x:v>核心经营总览；获客与新增</x:v>
      </x:c>
      <x:c r="J15" s="13" t="str">
        <x:v>补齐并接入BI后：
1）BI用下载点击次数合计÷访问次数合计计算转化率
2）按对应范围查看每日值及趋势；BI用下载点击次数合计÷访问次数合计计算转化率</x:v>
      </x:c>
    </x:row>
    <x:row r="16" ht="62" customHeight="1">
      <x:c r="A16" s="14" t="str">
        <x:v>M006</x:v>
      </x:c>
      <x:c r="B16" s="14" t="str">
        <x:v>下载点击-注册转化率</x:v>
      </x:c>
      <x:c r="C16" s="22" t="str">
        <x:v>支持</x:v>
      </x:c>
      <x:c r="D16" s="14" t="str">
        <x:v>总体</x:v>
      </x:c>
      <x:c r="E16" s="14" t="str">
        <x:v>单日、逐日趋势、日对比</x:v>
      </x:c>
      <x:c r="F16" s="14" t="str">
        <x:v>现有数据与BI计算已支持，无需新增接口；待业务验数。</x:v>
      </x:c>
      <x:c r="G16" s="14" t="str">
        <x:v>业务平台及日期</x:v>
      </x:c>
      <x:c r="H16" s="14" t="str">
        <x:v>数值、分子、分母
当前日、前一天、上周同日的日期及数值
配套输入：下载IP·天合计（公式及范围见定义表）</x:v>
      </x:c>
      <x:c r="I16" s="14" t="str">
        <x:v>核心经营总览；获客与新增</x:v>
      </x:c>
      <x:c r="J16" s="14" t="str">
        <x:v>已支持：
按对应范围查看每日值及趋势；BI计算较前一天、上周同日的涨跌</x:v>
      </x:c>
    </x:row>
    <x:row r="17" ht="94" customHeight="1">
      <x:c r="A17" s="13"/>
      <x:c r="B17" s="13"/>
      <x:c r="C17" s="24" t="str">
        <x:v>未支持</x:v>
      </x:c>
      <x:c r="D17" s="13" t="str">
        <x:v>1. 总体
2. 来源渠道</x:v>
      </x:c>
      <x:c r="E17" s="13" t="str">
        <x:v>1. 区间转化率／比率
2. 单日、逐日趋势、区间转化率／比率</x:v>
      </x:c>
      <x:c r="F17" s="13" t="str">
        <x:v>1）复用已有IP日输入；确认注册人数跨日互斥后BI累计，否则补区间账号去重
2）补对应维度的完整每日数据（含日期与完整性）；补对应维度每日IP及注册输入；确认注册人数跨日互斥后BI累计，否则补区间账号去重</x:v>
      </x:c>
      <x:c r="G17" s="13" t="str">
        <x:v>来源渠道</x:v>
      </x:c>
      <x:c r="H17" s="13" t="str">
        <x:v>每日去重IP数；注册人数的唯一注册日规则，或区间去重注册人数
数值、分子、分母
配套输入：下载IP·天合计（公式及范围见定义表）</x:v>
      </x:c>
      <x:c r="I17" s="13" t="str">
        <x:v>核心经营总览；获客与新增</x:v>
      </x:c>
      <x:c r="J17" s="13" t="str">
        <x:v>补齐并接入BI后：
1）BI用去重注册人数÷IP·天合计计算周期转化；注册日互斥性须确认
2）按对应范围查看每日值及趋势；BI用去重注册人数÷IP·天合计计算周期转化；注册日互斥性须确认</x:v>
      </x:c>
    </x:row>
    <x:row r="18" ht="78" customHeight="1">
      <x:c r="A18" s="14" t="str">
        <x:v>M007</x:v>
      </x:c>
      <x:c r="B18" s="14" t="str">
        <x:v>访问-注册转化率</x:v>
      </x:c>
      <x:c r="C18" s="22" t="str">
        <x:v>支持</x:v>
      </x:c>
      <x:c r="D18" s="14" t="str">
        <x:v>总体</x:v>
      </x:c>
      <x:c r="E18" s="14" t="str">
        <x:v>单日、逐日趋势、日对比</x:v>
      </x:c>
      <x:c r="F18" s="14" t="str">
        <x:v>现有数据与BI计算已支持，无需新增接口；待业务验数。</x:v>
      </x:c>
      <x:c r="G18" s="14" t="str">
        <x:v>业务平台及日期</x:v>
      </x:c>
      <x:c r="H18" s="14" t="str">
        <x:v>数值、分子、分母
当前日、前一天、上周同日的日期及数值
配套输入：落地页访问IP·天合计（公式及范围见定义表）</x:v>
      </x:c>
      <x:c r="I18" s="14" t="str">
        <x:v>核心经营总览；获客与新增</x:v>
      </x:c>
      <x:c r="J18" s="14" t="str">
        <x:v>已支持：
按对应范围查看每日值及趋势；BI计算较前一天、上周同日的涨跌</x:v>
      </x:c>
    </x:row>
    <x:row r="19" ht="94" customHeight="1">
      <x:c r="A19" s="13"/>
      <x:c r="B19" s="13"/>
      <x:c r="C19" s="24" t="str">
        <x:v>未支持</x:v>
      </x:c>
      <x:c r="D19" s="13" t="str">
        <x:v>1. 总体
2. 来源渠道</x:v>
      </x:c>
      <x:c r="E19" s="13" t="str">
        <x:v>1. 区间转化率／比率
2. 单日、逐日趋势、区间转化率／比率</x:v>
      </x:c>
      <x:c r="F19" s="13" t="str">
        <x:v>1）复用已有IP日输入；确认注册人数跨日互斥后BI累计，否则补区间账号去重
2）补对应维度的完整每日数据（含日期与完整性）；补对应维度每日IP及注册输入；确认注册人数跨日互斥后BI累计，否则补区间账号去重</x:v>
      </x:c>
      <x:c r="G19" s="13" t="str">
        <x:v>来源渠道</x:v>
      </x:c>
      <x:c r="H19" s="13" t="str">
        <x:v>每日去重IP数；注册人数的唯一注册日规则，或区间去重注册人数
数值、分子、分母
配套输入：落地页访问IP·天合计（公式及范围见定义表）</x:v>
      </x:c>
      <x:c r="I19" s="13" t="str">
        <x:v>核心经营总览；获客与新增</x:v>
      </x:c>
      <x:c r="J19" s="13" t="str">
        <x:v>补齐并接入BI后：
1）BI用去重注册人数÷IP·天合计计算周期转化；注册日互斥性须确认
2）按对应范围查看每日值及趋势；BI用去重注册人数÷IP·天合计计算周期转化；注册日互斥性须确认</x:v>
      </x:c>
    </x:row>
    <x:row r="20" ht="110" customHeight="1">
      <x:c r="A20" s="14" t="str">
        <x:v>M008</x:v>
      </x:c>
      <x:c r="B20" s="14" t="str">
        <x:v>新增用户数</x:v>
      </x:c>
      <x:c r="C20" s="22" t="str">
        <x:v>支持</x:v>
      </x:c>
      <x:c r="D20" s="14" t="str">
        <x:v>1. 总体
2. Android / iOS / Web；内部导量 / 自然新增</x:v>
      </x:c>
      <x:c r="E20" s="14" t="str">
        <x:v>1. 单日、逐日趋势、区间合计、日均、日对比
2. 单日、逐日趋势、日均、日对比</x:v>
      </x:c>
      <x:c r="F20" s="14" t="str">
        <x:v>现有数据与BI计算已支持，无需新增接口；待业务验数。</x:v>
      </x:c>
      <x:c r="G20" s="14" t="str">
        <x:v>客户端：Android；客户端：iOS；客户端：Web；内部导量；自然新增</x:v>
      </x:c>
      <x:c r="H20" s="14" t="str">
        <x:v>数值
逐日数值、日期及完整性标记（真实0与缺失分开）
当前日、前一天、上周同日的日期及数值</x:v>
      </x:c>
      <x:c r="I20" s="14" t="str">
        <x:v>核心经营总览；获客与新增；活跃与留存</x:v>
      </x:c>
      <x:c r="J20" s="14" t="str">
        <x:v>已支持：
1）按对应范围查看每日值及趋势；BI累加每日值，得到所选区间合计；BI算日均，缺失日期不补0；BI计算较前一天、上周同日的涨跌
2）按对应范围查看每日值及趋势；BI算日均，缺失日期不补0；BI计算较前一天、上周同日的涨跌</x:v>
      </x:c>
    </x:row>
    <x:row r="21" ht="78" customHeight="1">
      <x:c r="A21" s="13"/>
      <x:c r="B21" s="13"/>
      <x:c r="C21" s="24" t="str">
        <x:v>未支持</x:v>
      </x:c>
      <x:c r="D21" s="13" t="str">
        <x:v>1. Android / iOS / Web；内部导量 / 自然新增
2. 起始日为Android / 起始日为iOS；下载目标；来源渠道</x:v>
      </x:c>
      <x:c r="E21" s="13" t="str">
        <x:v>1. 区间合计
2. 单日、逐日趋势、区间合计、日均</x:v>
      </x:c>
      <x:c r="F21" s="13" t="str">
        <x:v>1）已有每日输入，BI复用取数和计算，无需新增统计接口
2）补对应维度的完整每日数据（含日期与完整性）</x:v>
      </x:c>
      <x:c r="G21" s="13" t="str">
        <x:v>客户端：Android；客户端：iOS；客户端：Web；内部导量；自然新增；起始日客户端：Android；起始日客户端：iOS；下载目标；来源渠道</x:v>
      </x:c>
      <x:c r="H21" s="13" t="str">
        <x:v>逐日数值、日期及完整性标记（真实0与缺失分开）
数值</x:v>
      </x:c>
      <x:c r="I21" s="13" t="str">
        <x:v>核心经营总览；获客与新增；活跃与留存</x:v>
      </x:c>
      <x:c r="J21" s="13" t="str">
        <x:v>补齐并接入BI后：
1）BI累加每日值，得到所选区间合计
2）按对应范围查看每日值及趋势；BI累加每日值，得到所选区间合计；BI算日均，缺失日期不补0</x:v>
      </x:c>
    </x:row>
    <x:row r="22" ht="62" customHeight="1">
      <x:c r="A22" s="14" t="str">
        <x:v>M011</x:v>
      </x:c>
      <x:c r="B22" s="14" t="str">
        <x:v>新增用户数（扣后）</x:v>
      </x:c>
      <x:c r="C22" s="28" t="str">
        <x:v>未支持</x:v>
      </x:c>
      <x:c r="D22" s="14" t="str">
        <x:v>总体；支付渠道</x:v>
      </x:c>
      <x:c r="E22" s="14" t="str">
        <x:v>单日、逐日趋势、区间合计、日均</x:v>
      </x:c>
      <x:c r="F22" s="14" t="str">
        <x:v>核对现有扣后新增来源，补结算渠道、每30分钟扣量规则和周期合计。；补对应维度的完整每日数据（含日期与完整性）</x:v>
      </x:c>
      <x:c r="G22" s="14" t="str">
        <x:v>支付渠道</x:v>
      </x:c>
      <x:c r="H22" s="14" t="str">
        <x:v>数值
逐日数值、日期及完整性标记（真实0与缺失分开）</x:v>
      </x:c>
      <x:c r="I22" s="14" t="str">
        <x:v>获客与新增</x:v>
      </x:c>
      <x:c r="J22" s="14" t="str">
        <x:v>补齐并接入BI后：
按对应范围查看每日值及趋势；BI累加每日值，得到所选区间合计；BI算日均，缺失日期不补0</x:v>
      </x:c>
    </x:row>
    <x:row r="23" ht="62" customHeight="1">
      <x:c r="A23" s="14" t="str">
        <x:v>M016</x:v>
      </x:c>
      <x:c r="B23" s="14" t="str">
        <x:v>日活跃用户数</x:v>
      </x:c>
      <x:c r="C23" s="22" t="str">
        <x:v>支持</x:v>
      </x:c>
      <x:c r="D23" s="14" t="str">
        <x:v>总体；Android / iOS / Web；老用户</x:v>
      </x:c>
      <x:c r="E23" s="14" t="str">
        <x:v>单日、逐日趋势、日均、日对比</x:v>
      </x:c>
      <x:c r="F23" s="14" t="str">
        <x:v>现有数据与BI计算已支持，无需新增接口；待业务验数。</x:v>
      </x:c>
      <x:c r="G23" s="14" t="str">
        <x:v>客户端：Android；客户端：iOS；客户端：Web；用户类型：老用户</x:v>
      </x:c>
      <x:c r="H23" s="14" t="str">
        <x:v>数值
逐日数值、日期及完整性标记（真实0与缺失分开）
当前日、前一天、上周同日的日期及数值</x:v>
      </x:c>
      <x:c r="I23" s="14" t="str">
        <x:v>核心经营总览；活跃与留存</x:v>
      </x:c>
      <x:c r="J23" s="14" t="str">
        <x:v>已支持：
按对应范围查看每日值及趋势；BI算日均，缺失日期不补0；BI计算较前一天、上周同日的涨跌</x:v>
      </x:c>
    </x:row>
    <x:row r="24" ht="126" customHeight="1">
      <x:c r="A24" s="13"/>
      <x:c r="B24" s="13"/>
      <x:c r="C24" s="24" t="str">
        <x:v>未支持</x:v>
      </x:c>
      <x:c r="D24" s="13" t="str">
        <x:v>1. 总体；Android / iOS / Web；老用户
2. 客户端未知；版本 / 版本未知；版本 × (Android / iOS)；(Android / iOS / 客户端未知 / Web) × (新用户 / 老用户)
3. 新用户</x:v>
      </x:c>
      <x:c r="E24" s="13" t="str">
        <x:v>1. 区间去重人数
2. 单日、逐日趋势、区间去重人数、日均
3. 单日、逐日趋势、区间去重人数、日均、日对比</x:v>
      </x:c>
      <x:c r="F24" s="13" t="str">
        <x:v>1）补区间用户去重查询；不能累加每日人数
2）补对应维度的完整每日数据（含日期与完整性）；补区间用户去重查询；不能累加每日人数
3）补对应维度的完整每日数据（含日期与完整性）；补区间用户去重查询；不能累加每日人数</x:v>
      </x:c>
      <x:c r="G24" s="13" t="str">
        <x:v>客户端：Android；客户端：iOS；客户端：客户端未知；客户端：Web；用户类型：新用户；用户类型：老用户；版本；版本未知</x:v>
      </x:c>
      <x:c r="H24" s="13" t="str">
        <x:v>区间去重人数（同一用户整个区间只计一次）
数值
逐日数值、日期及完整性标记（真实0与缺失分开）
当前日、前一天、上周同日的日期及数值</x:v>
      </x:c>
      <x:c r="I24" s="13" t="str">
        <x:v>核心经营总览；活跃与留存；产品体验与启动质量</x:v>
      </x:c>
      <x:c r="J24" s="13" t="str">
        <x:v>补齐并接入BI后：
1）整段时间去重人数，同一用户只计一次
2）按对应范围查看每日值及趋势；整段时间去重人数，同一用户只计一次；BI算日均，缺失日期不补0
3）按对应范围查看每日值及趋势；整段时间去重人数，同一用户只计一次；BI算日均，缺失日期不补0；BI计算较前一天、上周同日的涨跌</x:v>
      </x:c>
    </x:row>
    <x:row r="25" ht="62" customHeight="1">
      <x:c r="A25" s="14" t="str">
        <x:v>M018</x:v>
      </x:c>
      <x:c r="B25" s="14" t="str">
        <x:v>月活跃用户数</x:v>
      </x:c>
      <x:c r="C25" s="26" t="str">
        <x:v>待确认</x:v>
      </x:c>
      <x:c r="D25" s="14" t="str">
        <x:v>总体</x:v>
      </x:c>
      <x:c r="E25" s="14" t="str">
        <x:v>逐月趋势、自然月／当月截至日、较上月同期进度</x:v>
      </x:c>
      <x:c r="F25" s="14" t="str">
        <x:v>核对月活字段的月份和截至日；补对应月查询</x:v>
      </x:c>
      <x:c r="G25" s="14" t="str">
        <x:v>业务平台及日期</x:v>
      </x:c>
      <x:c r="H25" s="14" t="str">
        <x:v>数值
月去重人数、实际截至日、完整月份标记
本月与上月同进度去重人数、实际截至日期</x:v>
      </x:c>
      <x:c r="I25" s="14" t="str">
        <x:v>核心经营总览；活跃与留存</x:v>
      </x:c>
      <x:c r="J25" s="14" t="str">
        <x:v>口径确认并补齐后：
月活人数和逐月趋势；查看自然月或当月截至日的去重人数；BI比较上月同进度人数</x:v>
      </x:c>
    </x:row>
    <x:row r="26" ht="78" customHeight="1">
      <x:c r="A26" s="14" t="str">
        <x:v>M020</x:v>
      </x:c>
      <x:c r="B26" s="14" t="str">
        <x:v>注册用户D1留存率</x:v>
      </x:c>
      <x:c r="C26" s="22" t="str">
        <x:v>支持</x:v>
      </x:c>
      <x:c r="D26" s="14" t="str">
        <x:v>总体</x:v>
      </x:c>
      <x:c r="E26" s="14" t="str">
        <x:v>单批用户（起始日）、各起始日趋势</x:v>
      </x:c>
      <x:c r="F26" s="14" t="str">
        <x:v>现有数据与BI计算已支持，无需新增接口；待业务验数。</x:v>
      </x:c>
      <x:c r="G26" s="14" t="str">
        <x:v>用户起始日期</x:v>
      </x:c>
      <x:c r="H26" s="14" t="str">
        <x:v>起始日、观察日、同批用户分子与基数、是否已到观察日
配套输入：首日注册用户数（公式及范围见定义表）</x:v>
      </x:c>
      <x:c r="I26" s="14" t="str">
        <x:v>核心经营总览；获客与新增；活跃与留存</x:v>
      </x:c>
      <x:c r="J26" s="14" t="str">
        <x:v>已支持：
各起始日批次数值及趋势</x:v>
      </x:c>
    </x:row>
    <x:row r="27" ht="94" customHeight="1">
      <x:c r="A27" s="13"/>
      <x:c r="B27" s="13"/>
      <x:c r="C27" s="30" t="str">
        <x:v>部分支持</x:v>
      </x:c>
      <x:c r="D27" s="13" t="str">
        <x:v>总体</x:v>
      </x:c>
      <x:c r="E27" s="13" t="str">
        <x:v>多批次留存／复访率、同观察天数的批次对比</x:v>
      </x:c>
      <x:c r="F27" s="13" t="str">
        <x:v>补已到观察日的同批用户分子、基数及成熟标记；提供两期同观察天数的批次分子、基数及成熟标记</x:v>
      </x:c>
      <x:c r="G27" s="13" t="str">
        <x:v>业务平台及日期</x:v>
      </x:c>
      <x:c r="H27" s="13" t="str">
        <x:v>各起始日批次的分子、基数、观察日、成熟及完整性标记
两期同观察天数的分子、基数及成熟标记
配套输入：首日注册用户数（公式及范围见定义表）</x:v>
      </x:c>
      <x:c r="I27" s="13" t="str">
        <x:v>核心经营总览；获客与新增；活跃与留存</x:v>
      </x:c>
      <x:c r="J27" s="13" t="str">
        <x:v>补齐并接入BI后：
按已成熟批次查看汇总人数／留存结果；BI对比相同观察天数的两期批次</x:v>
      </x:c>
    </x:row>
    <x:row r="28" ht="126" customHeight="1">
      <x:c r="A28" s="13"/>
      <x:c r="B28" s="13"/>
      <x:c r="C28" s="24" t="str">
        <x:v>未支持</x:v>
      </x:c>
      <x:c r="D28" s="13" t="str">
        <x:v>1. Android / iOS；内部导量 / 自然新增
2. 起始日为Android / 起始日为iOS；来源渠道；来源渠道；版本 / 版本未知；版本 × (Android / iOS)</x:v>
      </x:c>
      <x:c r="E28" s="13" t="str">
        <x:v>1. 单批用户（起始日）、各起始日趋势、多批次留存／复访率、同观察天数的批次对比
2. 单批用户（起始日）、各起始日趋势、多批次留存／复访率</x:v>
      </x:c>
      <x:c r="F28" s="13" t="str">
        <x:v>1）补对应维度的完整每日数据（含日期与完整性）；补已到观察日的同批用户分子、基数及成熟标记；提供两期同观察天数的批次分子、基数及成熟标记
2）补对应维度的完整每日数据（含日期与完整性）；补已到观察日的同批用户分子、基数及成熟标记</x:v>
      </x:c>
      <x:c r="G28" s="13" t="str">
        <x:v>用户起始日期；客户端：Android；客户端：iOS；内部导量；自然新增；起始日客户端：Android；起始日客户端：iOS；来源渠道；版本；版本未知</x:v>
      </x:c>
      <x:c r="H28" s="13" t="str">
        <x:v>起始日、观察日、同批用户分子与基数、是否已到观察日
各起始日批次的分子、基数、观察日、成熟及完整性标记
两期同观察天数的分子、基数及成熟标记
配套输入：首日注册用户数（公式及范围见定义表）</x:v>
      </x:c>
      <x:c r="I28" s="13" t="str">
        <x:v>核心经营总览；活跃与留存；获客与新增；产品体验与启动质量</x:v>
      </x:c>
      <x:c r="J28" s="13" t="str">
        <x:v>补齐并接入BI后：
1）各起始日批次数值及趋势；按已成熟批次查看汇总人数／留存结果；BI对比相同观察天数的两期批次
2）各起始日批次数值及趋势；按已成熟批次查看汇总人数／留存结果</x:v>
      </x:c>
    </x:row>
    <x:row r="29" ht="46" customHeight="1">
      <x:c r="A29" s="14" t="str">
        <x:v>M021</x:v>
      </x:c>
      <x:c r="B29" s="14" t="str">
        <x:v>注册用户D3留存率</x:v>
      </x:c>
      <x:c r="C29" s="22" t="str">
        <x:v>支持</x:v>
      </x:c>
      <x:c r="D29" s="14" t="str">
        <x:v>总体</x:v>
      </x:c>
      <x:c r="E29" s="14" t="str">
        <x:v>单批用户（起始日）、各起始日趋势</x:v>
      </x:c>
      <x:c r="F29" s="14" t="str">
        <x:v>现有数据与BI计算已支持，无需新增接口；待业务验数。</x:v>
      </x:c>
      <x:c r="G29" s="14" t="str">
        <x:v>用户起始日期</x:v>
      </x:c>
      <x:c r="H29" s="14" t="str">
        <x:v>起始日、观察日、同批用户分子与基数、是否已到观察日</x:v>
      </x:c>
      <x:c r="I29" s="14" t="str">
        <x:v>核心经营总览；获客与新增；活跃与留存</x:v>
      </x:c>
      <x:c r="J29" s="14" t="str">
        <x:v>已支持：
各起始日批次数值及趋势</x:v>
      </x:c>
    </x:row>
    <x:row r="30" ht="62" customHeight="1">
      <x:c r="A30" s="13"/>
      <x:c r="B30" s="13"/>
      <x:c r="C30" s="30" t="str">
        <x:v>部分支持</x:v>
      </x:c>
      <x:c r="D30" s="13" t="str">
        <x:v>总体</x:v>
      </x:c>
      <x:c r="E30" s="13" t="str">
        <x:v>多批次留存／复访率、同观察天数的批次对比</x:v>
      </x:c>
      <x:c r="F30" s="13" t="str">
        <x:v>补已到观察日的同批用户分子、基数及成熟标记；提供两期同观察天数的批次分子、基数及成熟标记</x:v>
      </x:c>
      <x:c r="G30" s="13" t="str">
        <x:v>业务平台及日期</x:v>
      </x:c>
      <x:c r="H30" s="13" t="str">
        <x:v>各起始日批次的分子、基数、观察日、成熟及完整性标记
两期同观察天数的分子、基数及成熟标记</x:v>
      </x:c>
      <x:c r="I30" s="13" t="str">
        <x:v>核心经营总览；获客与新增；活跃与留存</x:v>
      </x:c>
      <x:c r="J30" s="13" t="str">
        <x:v>补齐并接入BI后：
按已成熟批次查看汇总人数／留存结果；BI对比相同观察天数的两期批次</x:v>
      </x:c>
    </x:row>
    <x:row r="31" ht="78" customHeight="1">
      <x:c r="A31" s="13"/>
      <x:c r="B31" s="13"/>
      <x:c r="C31" s="24" t="str">
        <x:v>未支持</x:v>
      </x:c>
      <x:c r="D31" s="13" t="str">
        <x:v>内部导量 / 自然新增；起始日为Android / 起始日为iOS；来源渠道；来源渠道</x:v>
      </x:c>
      <x:c r="E31" s="13" t="str">
        <x:v>单批用户（起始日）、各起始日趋势、多批次留存／复访率</x:v>
      </x:c>
      <x:c r="F31" s="13" t="str">
        <x:v>补对应维度的完整每日数据（含日期与完整性）；补已到观察日的同批用户分子、基数及成熟标记</x:v>
      </x:c>
      <x:c r="G31" s="13" t="str">
        <x:v>用户起始日期；内部导量；自然新增；起始日客户端：Android；起始日客户端：iOS；来源渠道</x:v>
      </x:c>
      <x:c r="H31" s="13" t="str">
        <x:v>起始日、观察日、同批用户分子与基数、是否已到观察日
各起始日批次的分子、基数、观察日、成熟及完整性标记</x:v>
      </x:c>
      <x:c r="I31" s="13" t="str">
        <x:v>活跃与留存；获客与新增</x:v>
      </x:c>
      <x:c r="J31" s="13" t="str">
        <x:v>补齐并接入BI后：
各起始日批次数值及趋势；按已成熟批次查看汇总人数／留存结果</x:v>
      </x:c>
    </x:row>
    <x:row r="32" ht="46" customHeight="1">
      <x:c r="A32" s="14" t="str">
        <x:v>M022</x:v>
      </x:c>
      <x:c r="B32" s="14" t="str">
        <x:v>注册用户D7留存率</x:v>
      </x:c>
      <x:c r="C32" s="22" t="str">
        <x:v>支持</x:v>
      </x:c>
      <x:c r="D32" s="14" t="str">
        <x:v>总体</x:v>
      </x:c>
      <x:c r="E32" s="14" t="str">
        <x:v>单批用户（起始日）、各起始日趋势</x:v>
      </x:c>
      <x:c r="F32" s="14" t="str">
        <x:v>现有数据与BI计算已支持，无需新增接口；待业务验数。</x:v>
      </x:c>
      <x:c r="G32" s="14" t="str">
        <x:v>用户起始日期</x:v>
      </x:c>
      <x:c r="H32" s="14" t="str">
        <x:v>起始日、观察日、同批用户分子与基数、是否已到观察日</x:v>
      </x:c>
      <x:c r="I32" s="14" t="str">
        <x:v>核心经营总览；获客与新增；活跃与留存</x:v>
      </x:c>
      <x:c r="J32" s="14" t="str">
        <x:v>已支持：
各起始日批次数值及趋势</x:v>
      </x:c>
    </x:row>
    <x:row r="33" ht="62" customHeight="1">
      <x:c r="A33" s="13"/>
      <x:c r="B33" s="13"/>
      <x:c r="C33" s="30" t="str">
        <x:v>部分支持</x:v>
      </x:c>
      <x:c r="D33" s="13" t="str">
        <x:v>总体</x:v>
      </x:c>
      <x:c r="E33" s="13" t="str">
        <x:v>多批次留存／复访率、同观察天数的批次对比</x:v>
      </x:c>
      <x:c r="F33" s="13" t="str">
        <x:v>补已到观察日的同批用户分子、基数及成熟标记；提供两期同观察天数的批次分子、基数及成熟标记</x:v>
      </x:c>
      <x:c r="G33" s="13" t="str">
        <x:v>业务平台及日期</x:v>
      </x:c>
      <x:c r="H33" s="13" t="str">
        <x:v>各起始日批次的分子、基数、观察日、成熟及完整性标记
两期同观察天数的分子、基数及成熟标记</x:v>
      </x:c>
      <x:c r="I33" s="13" t="str">
        <x:v>核心经营总览；获客与新增；活跃与留存</x:v>
      </x:c>
      <x:c r="J33" s="13" t="str">
        <x:v>补齐并接入BI后：
按已成熟批次查看汇总人数／留存结果；BI对比相同观察天数的两期批次</x:v>
      </x:c>
    </x:row>
    <x:row r="34" ht="78" customHeight="1">
      <x:c r="A34" s="13"/>
      <x:c r="B34" s="13"/>
      <x:c r="C34" s="24" t="str">
        <x:v>未支持</x:v>
      </x:c>
      <x:c r="D34" s="13" t="str">
        <x:v>内部导量 / 自然新增；起始日为Android / 起始日为iOS；来源渠道；来源渠道</x:v>
      </x:c>
      <x:c r="E34" s="13" t="str">
        <x:v>单批用户（起始日）、各起始日趋势、多批次留存／复访率</x:v>
      </x:c>
      <x:c r="F34" s="13" t="str">
        <x:v>补对应维度的完整每日数据（含日期与完整性）；补已到观察日的同批用户分子、基数及成熟标记</x:v>
      </x:c>
      <x:c r="G34" s="13" t="str">
        <x:v>用户起始日期；内部导量；自然新增；起始日客户端：Android；起始日客户端：iOS；来源渠道</x:v>
      </x:c>
      <x:c r="H34" s="13" t="str">
        <x:v>起始日、观察日、同批用户分子与基数、是否已到观察日
各起始日批次的分子、基数、观察日、成熟及完整性标记</x:v>
      </x:c>
      <x:c r="I34" s="13" t="str">
        <x:v>活跃与留存；获客与新增</x:v>
      </x:c>
      <x:c r="J34" s="13" t="str">
        <x:v>补齐并接入BI后：
各起始日批次数值及趋势；按已成熟批次查看汇总人数／留存结果</x:v>
      </x:c>
    </x:row>
    <x:row r="35" ht="46" customHeight="1">
      <x:c r="A35" s="14" t="str">
        <x:v>M023</x:v>
      </x:c>
      <x:c r="B35" s="14" t="str">
        <x:v>注册用户D30留存率</x:v>
      </x:c>
      <x:c r="C35" s="22" t="str">
        <x:v>支持</x:v>
      </x:c>
      <x:c r="D35" s="14" t="str">
        <x:v>总体</x:v>
      </x:c>
      <x:c r="E35" s="14" t="str">
        <x:v>单批用户（起始日）、各起始日趋势</x:v>
      </x:c>
      <x:c r="F35" s="14" t="str">
        <x:v>现有数据与BI计算已支持，无需新增接口；待业务验数。</x:v>
      </x:c>
      <x:c r="G35" s="14" t="str">
        <x:v>用户起始日期</x:v>
      </x:c>
      <x:c r="H35" s="14" t="str">
        <x:v>起始日、观察日、同批用户分子与基数、是否已到观察日</x:v>
      </x:c>
      <x:c r="I35" s="14" t="str">
        <x:v>获客与新增；活跃与留存</x:v>
      </x:c>
      <x:c r="J35" s="14" t="str">
        <x:v>已支持：
各起始日批次数值及趋势</x:v>
      </x:c>
    </x:row>
    <x:row r="36" ht="62" customHeight="1">
      <x:c r="A36" s="13"/>
      <x:c r="B36" s="13"/>
      <x:c r="C36" s="30" t="str">
        <x:v>部分支持</x:v>
      </x:c>
      <x:c r="D36" s="13" t="str">
        <x:v>总体</x:v>
      </x:c>
      <x:c r="E36" s="13" t="str">
        <x:v>多批次留存／复访率、同观察天数的批次对比</x:v>
      </x:c>
      <x:c r="F36" s="13" t="str">
        <x:v>补已到观察日的同批用户分子、基数及成熟标记；提供两期同观察天数的批次分子、基数及成熟标记</x:v>
      </x:c>
      <x:c r="G36" s="13" t="str">
        <x:v>业务平台及日期</x:v>
      </x:c>
      <x:c r="H36" s="13" t="str">
        <x:v>各起始日批次的分子、基数、观察日、成熟及完整性标记
两期同观察天数的分子、基数及成熟标记</x:v>
      </x:c>
      <x:c r="I36" s="13" t="str">
        <x:v>获客与新增；活跃与留存</x:v>
      </x:c>
      <x:c r="J36" s="13" t="str">
        <x:v>补齐并接入BI后：
按已成熟批次查看汇总人数／留存结果；BI对比相同观察天数的两期批次</x:v>
      </x:c>
    </x:row>
    <x:row r="37" ht="78" customHeight="1">
      <x:c r="A37" s="13"/>
      <x:c r="B37" s="13"/>
      <x:c r="C37" s="24" t="str">
        <x:v>未支持</x:v>
      </x:c>
      <x:c r="D37" s="13" t="str">
        <x:v>内部导量 / 自然新增；起始日为Android / 起始日为iOS；来源渠道；来源渠道</x:v>
      </x:c>
      <x:c r="E37" s="13" t="str">
        <x:v>单批用户（起始日）、各起始日趋势、多批次留存／复访率</x:v>
      </x:c>
      <x:c r="F37" s="13" t="str">
        <x:v>补对应维度的完整每日数据（含日期与完整性）；补已到观察日的同批用户分子、基数及成熟标记</x:v>
      </x:c>
      <x:c r="G37" s="13" t="str">
        <x:v>用户起始日期；内部导量；自然新增；起始日客户端：Android；起始日客户端：iOS；来源渠道</x:v>
      </x:c>
      <x:c r="H37" s="13" t="str">
        <x:v>起始日、观察日、同批用户分子与基数、是否已到观察日
各起始日批次的分子、基数、观察日、成熟及完整性标记</x:v>
      </x:c>
      <x:c r="I37" s="13" t="str">
        <x:v>活跃与留存；获客与新增</x:v>
      </x:c>
      <x:c r="J37" s="13" t="str">
        <x:v>补齐并接入BI后：
各起始日批次数值及趋势；按已成熟批次查看汇总人数／留存结果</x:v>
      </x:c>
    </x:row>
    <x:row r="38" ht="110" customHeight="1">
      <x:c r="A38" s="14" t="str">
        <x:v>M024</x:v>
      </x:c>
      <x:c r="B38" s="14" t="str">
        <x:v>存量用户次日复访率</x:v>
      </x:c>
      <x:c r="C38" s="26" t="str">
        <x:v>待确认</x:v>
      </x:c>
      <x:c r="D38" s="14" t="str">
        <x:v>总体</x:v>
      </x:c>
      <x:c r="E38" s="14" t="str">
        <x:v>单批用户（起始日）、各起始日趋势、多批次留存／复访率</x:v>
      </x:c>
      <x:c r="F38" s="14" t="str">
        <x:v>核对是否为同一批老用户次日复访，再接查询</x:v>
      </x:c>
      <x:c r="G38" s="14" t="str">
        <x:v>用户起始日期</x:v>
      </x:c>
      <x:c r="H38" s="14" t="str">
        <x:v>起始日、观察日、同批用户分子与基数、是否已到观察日
各起始日批次的分子、基数、观察日、成熟及完整性标记
配套输入：首日存量活跃用户数、次日复访存量用户数（公式及范围见定义表）</x:v>
      </x:c>
      <x:c r="I38" s="14" t="str">
        <x:v>活跃与留存</x:v>
      </x:c>
      <x:c r="J38" s="14" t="str">
        <x:v>口径确认并补齐后：
各起始日批次数值及趋势；按已成熟批次查看汇总人数／留存结果</x:v>
      </x:c>
    </x:row>
    <x:row r="39" ht="110" customHeight="1">
      <x:c r="A39" s="13"/>
      <x:c r="B39" s="13"/>
      <x:c r="C39" s="24" t="str">
        <x:v>未支持</x:v>
      </x:c>
      <x:c r="D39" s="13" t="str">
        <x:v>版本 / 版本未知；版本 × (Android / iOS)</x:v>
      </x:c>
      <x:c r="E39" s="13" t="str">
        <x:v>单批用户（起始日）、各起始日趋势、多批次留存／复访率</x:v>
      </x:c>
      <x:c r="F39" s="13" t="str">
        <x:v>补对应维度的完整每日数据（含日期与完整性）；补已到观察日的同批用户分子、基数及成熟标记</x:v>
      </x:c>
      <x:c r="G39" s="13" t="str">
        <x:v>用户起始日期；版本；版本未知；客户端：Android；客户端：iOS</x:v>
      </x:c>
      <x:c r="H39" s="13" t="str">
        <x:v>起始日、观察日、同批用户分子与基数、是否已到观察日
各起始日批次的分子、基数、观察日、成熟及完整性标记
配套输入：首日存量活跃用户数、次日复访存量用户数（公式及范围见定义表）</x:v>
      </x:c>
      <x:c r="I39" s="13" t="str">
        <x:v>产品体验与启动质量</x:v>
      </x:c>
      <x:c r="J39" s="13" t="str">
        <x:v>补齐并接入BI后：
各起始日批次数值及趋势；按已成熟批次查看汇总人数／留存结果</x:v>
      </x:c>
    </x:row>
    <x:row r="40" ht="62" customHeight="1">
      <x:c r="A40" s="14" t="str">
        <x:v>M025</x:v>
      </x:c>
      <x:c r="B40" s="14" t="str">
        <x:v>72小时再次激活率</x:v>
      </x:c>
      <x:c r="C40" s="28" t="str">
        <x:v>未支持</x:v>
      </x:c>
      <x:c r="D40" s="14" t="str">
        <x:v>总体</x:v>
      </x:c>
      <x:c r="E40" s="14" t="str">
        <x:v>单日、逐日趋势、区间转化率／比率</x:v>
      </x:c>
      <x:c r="F40" s="14" t="str">
        <x:v>补首次体验失败用户中72小时再激活的人数、分母及观察完成状态。；补同范围区间分子、分母；可累加量复用日值，比率由BI计算</x:v>
      </x:c>
      <x:c r="G40" s="14" t="str">
        <x:v>业务平台及日期</x:v>
      </x:c>
      <x:c r="H40" s="14" t="str">
        <x:v>数值、分子、分母
同范围、同口径的区间分子和分母（可累加量可返回日值）</x:v>
      </x:c>
      <x:c r="I40" s="14" t="str">
        <x:v>活跃与留存</x:v>
      </x:c>
      <x:c r="J40" s="14" t="str">
        <x:v>补齐并接入BI后：
按对应范围查看每日值及趋势；BI用同范围分子÷分母计算区间比率</x:v>
      </x:c>
    </x:row>
    <x:row r="41" ht="62" customHeight="1">
      <x:c r="A41" s="14" t="str">
        <x:v>M026</x:v>
      </x:c>
      <x:c r="B41" s="14" t="str">
        <x:v>观影用户数</x:v>
      </x:c>
      <x:c r="C41" s="22" t="str">
        <x:v>支持</x:v>
      </x:c>
      <x:c r="D41" s="14" t="str">
        <x:v>总体；Android / iOS / Web；新用户 / 老用户</x:v>
      </x:c>
      <x:c r="E41" s="14" t="str">
        <x:v>单日、逐日趋势、日均、日对比</x:v>
      </x:c>
      <x:c r="F41" s="14" t="str">
        <x:v>现有数据与BI计算已支持，无需新增接口；待业务验数。</x:v>
      </x:c>
      <x:c r="G41" s="14" t="str">
        <x:v>客户端：Android；客户端：iOS；客户端：Web；用户类型：新用户；用户类型：老用户</x:v>
      </x:c>
      <x:c r="H41" s="14" t="str">
        <x:v>数值
逐日数值、日期及完整性标记（真实0与缺失分开）
当前日、前一天、上周同日的日期及数值</x:v>
      </x:c>
      <x:c r="I41" s="14" t="str">
        <x:v>核心经营总览；视频消费表现</x:v>
      </x:c>
      <x:c r="J41" s="14" t="str">
        <x:v>已支持：
按对应范围查看每日值及趋势；BI算日均，缺失日期不补0；BI计算较前一天、上周同日的涨跌</x:v>
      </x:c>
    </x:row>
    <x:row r="42" ht="78" customHeight="1">
      <x:c r="A42" s="13"/>
      <x:c r="B42" s="13"/>
      <x:c r="C42" s="24" t="str">
        <x:v>未支持</x:v>
      </x:c>
      <x:c r="D42" s="13" t="str">
        <x:v>1. 总体；Android / iOS / Web；新用户 / 老用户
2. 客户端未知；内部导量 / 自然新增；来源渠道；版本 / 版本未知；版本 × (Android / iOS)</x:v>
      </x:c>
      <x:c r="E42" s="13" t="str">
        <x:v>1. 区间去重人数
2. 单日、逐日趋势、区间去重人数、日均</x:v>
      </x:c>
      <x:c r="F42" s="13" t="str">
        <x:v>1）补区间用户去重查询；不能累加每日人数
2）补对应维度的完整每日数据（含日期与完整性）；补区间用户去重查询；不能累加每日人数</x:v>
      </x:c>
      <x:c r="G42" s="13" t="str">
        <x:v>客户端：Android；客户端：iOS；客户端：客户端未知；客户端：Web；用户类型：新用户；用户类型：老用户；内部导量；自然新增；来源渠道；版本；版本未知</x:v>
      </x:c>
      <x:c r="H42" s="13" t="str">
        <x:v>区间去重人数（同一用户整个区间只计一次）
数值
逐日数值、日期及完整性标记（真实0与缺失分开）</x:v>
      </x:c>
      <x:c r="I42" s="13" t="str">
        <x:v>核心经营总览；视频消费表现；产品体验与启动质量</x:v>
      </x:c>
      <x:c r="J42" s="13" t="str">
        <x:v>补齐并接入BI后：
1）整段时间去重人数，同一用户只计一次
2）按对应范围查看每日值及趋势；整段时间去重人数，同一用户只计一次；BI算日均，缺失日期不补0</x:v>
      </x:c>
    </x:row>
    <x:row r="43" ht="78" customHeight="1">
      <x:c r="A43" s="14" t="str">
        <x:v>M030</x:v>
      </x:c>
      <x:c r="B43" s="14" t="str">
        <x:v>起播用户数</x:v>
      </x:c>
      <x:c r="C43" s="28" t="str">
        <x:v>未支持</x:v>
      </x:c>
      <x:c r="D43" s="14" t="str">
        <x:v>总体；Android / iOS / 客户端未知 / Web；播放模式；播放触发方式；视频类型；版本</x:v>
      </x:c>
      <x:c r="E43" s="14" t="str">
        <x:v>单日、逐日趋势、区间去重人数、日均</x:v>
      </x:c>
      <x:c r="F43" s="14" t="str">
        <x:v>补成功起播用户的区间去重，按客户端、版本、视频类型及播放方式返回。；补区间用户去重查询；不能累加每日人数；补对应维度的完整每日数据（含日期与完整性）</x:v>
      </x:c>
      <x:c r="G43" s="14" t="str">
        <x:v>客户端：Android；客户端：iOS；客户端：客户端未知；客户端：Web；播放模式；播放触发方式；视频类型；版本</x:v>
      </x:c>
      <x:c r="H43" s="14" t="str">
        <x:v>数值
区间去重人数（同一用户整个区间只计一次）
逐日数值、日期及完整性标记（真实0与缺失分开）</x:v>
      </x:c>
      <x:c r="I43" s="14" t="str">
        <x:v>播放与观看质量</x:v>
      </x:c>
      <x:c r="J43" s="14" t="str">
        <x:v>补齐并接入BI后：
按对应范围查看每日值及趋势；整段时间去重人数，同一用户只计一次；BI算日均，缺失日期不补0</x:v>
      </x:c>
    </x:row>
    <x:row r="44" ht="78" customHeight="1">
      <x:c r="A44" s="14" t="str">
        <x:v>M031</x:v>
      </x:c>
      <x:c r="B44" s="14" t="str">
        <x:v>起播率</x:v>
      </x:c>
      <x:c r="C44" s="28" t="str">
        <x:v>未支持</x:v>
      </x:c>
      <x:c r="D44" s="14" t="str">
        <x:v>总体；Android / iOS / 客户端未知 / Web；播放模式；播放触发方式；视频类型；版本 / 版本未知；版本 × (Android / iOS)</x:v>
      </x:c>
      <x:c r="E44" s="14" t="str">
        <x:v>单日、逐日趋势、区间转化率／比率</x:v>
      </x:c>
      <x:c r="F44" s="14" t="str">
        <x:v>关联播放尝试与成功终态，补成功次数、已完成观察的尝试数及版本等拆分。；补同范围区间分子、分母；可累加量复用日值，比率由BI计算；补对应维度的完整每日数据（含日期与完整性）</x:v>
      </x:c>
      <x:c r="G44" s="14" t="str">
        <x:v>客户端：Android；客户端：iOS；客户端：客户端未知；客户端：Web；播放模式；播放触发方式；视频类型；版本；版本未知</x:v>
      </x:c>
      <x:c r="H44" s="14" t="str">
        <x:v>数值、分子、分母
同范围、同口径的区间分子和分母（可累加量可返回日值）</x:v>
      </x:c>
      <x:c r="I44" s="14" t="str">
        <x:v>核心经营总览；播放与观看质量；产品体验与启动质量</x:v>
      </x:c>
      <x:c r="J44" s="14" t="str">
        <x:v>补齐并接入BI后：
按对应范围查看每日值及趋势；BI用同范围分子÷分母计算区间比率</x:v>
      </x:c>
    </x:row>
    <x:row r="45" ht="78" customHeight="1">
      <x:c r="A45" s="14" t="str">
        <x:v>M032</x:v>
      </x:c>
      <x:c r="B45" s="14" t="str">
        <x:v>首帧耗时</x:v>
      </x:c>
      <x:c r="C45" s="28" t="str">
        <x:v>未支持</x:v>
      </x:c>
      <x:c r="D45" s="14" t="str">
        <x:v>总体；Android / iOS / 客户端未知 / Web；耗时分段；播放模式；播放触发方式；视频类型；版本</x:v>
      </x:c>
      <x:c r="E45" s="14" t="str">
        <x:v>单日、逐日趋势、区间耗时分位数、日对比</x:v>
      </x:c>
      <x:c r="F45" s="14" t="str">
        <x:v>补成功起播的首帧耗时分布与分位数，并按客户端、版本和播放方式拆分。；补区间耗时分位数查询，按本行维度独立返回；补对应维度的完整每日数据（含日期与完整性）</x:v>
      </x:c>
      <x:c r="G45" s="14" t="str">
        <x:v>客户端：Android；客户端：iOS；客户端：客户端未知；客户端：Web；耗时分段；播放模式；播放触发方式；视频类型；版本</x:v>
      </x:c>
      <x:c r="H45" s="14" t="str">
        <x:v>数值
区间耗时分位数、样本量
当前日、前一天、上周同日的日期及数值</x:v>
      </x:c>
      <x:c r="I45" s="14" t="str">
        <x:v>播放与观看质量</x:v>
      </x:c>
      <x:c r="J45" s="14" t="str">
        <x:v>补齐并接入BI后：
按对应范围查看每日值及趋势；查看整个区间的耗时分位数，而非平均每日分位数；BI计算较前一天、上周同日的涨跌</x:v>
      </x:c>
    </x:row>
    <x:row r="46" ht="78" customHeight="1">
      <x:c r="A46" s="14" t="str">
        <x:v>M033</x:v>
      </x:c>
      <x:c r="B46" s="14" t="str">
        <x:v>首个视频页到达率</x:v>
      </x:c>
      <x:c r="C46" s="28" t="str">
        <x:v>未支持</x:v>
      </x:c>
      <x:c r="D46" s="14" t="str">
        <x:v>总体；来源渠道</x:v>
      </x:c>
      <x:c r="E46" s="14" t="str">
        <x:v>单日、逐日趋势、区间转化率／比率</x:v>
      </x:c>
      <x:c r="F46" s="14" t="str">
        <x:v>核对现有同名指标，补首次启动成功用户中到达视频页的人数及渠道拆分。；补同范围区间分子、分母；可累加量复用日值，比率由BI计算；补对应维度的完整每日数据（含日期与完整性）</x:v>
      </x:c>
      <x:c r="G46" s="14" t="str">
        <x:v>来源渠道</x:v>
      </x:c>
      <x:c r="H46" s="14" t="str">
        <x:v>数值、分子、分母
同范围、同口径的区间分子和分母（可累加量可返回日值）</x:v>
      </x:c>
      <x:c r="I46" s="14" t="str">
        <x:v>获客与新增</x:v>
      </x:c>
      <x:c r="J46" s="14" t="str">
        <x:v>补齐并接入BI后：
按对应范围查看每日值及趋势；BI用同范围分子÷分母计算区间比率</x:v>
      </x:c>
    </x:row>
    <x:row r="47" ht="62" customHeight="1">
      <x:c r="A47" s="14" t="str">
        <x:v>M034</x:v>
      </x:c>
      <x:c r="B47" s="14" t="str">
        <x:v>有效观看次数</x:v>
      </x:c>
      <x:c r="C47" s="28" t="str">
        <x:v>未支持</x:v>
      </x:c>
      <x:c r="D47" s="14" t="str">
        <x:v>总体；视频；视频类型</x:v>
      </x:c>
      <x:c r="E47" s="14" t="str">
        <x:v>单日、逐日趋势、区间合计、日均</x:v>
      </x:c>
      <x:c r="F47" s="14" t="str">
        <x:v>按统一有效观看规则关联起播与观看时长，补次数、视频及类型排行和日趋势。；补对应维度的完整每日数据（含日期与完整性）</x:v>
      </x:c>
      <x:c r="G47" s="14" t="str">
        <x:v>视频；视频类型</x:v>
      </x:c>
      <x:c r="H47" s="14" t="str">
        <x:v>数值
逐日数值、日期及完整性标记（真实0与缺失分开）</x:v>
      </x:c>
      <x:c r="I47" s="14" t="str">
        <x:v>视频消费表现</x:v>
      </x:c>
      <x:c r="J47" s="14" t="str">
        <x:v>补齐并接入BI后：
按对应范围查看每日值及趋势；BI累加每日值，得到所选区间合计；BI算日均，缺失日期不补0</x:v>
      </x:c>
    </x:row>
    <x:row r="48" ht="62" customHeight="1">
      <x:c r="A48" s="14" t="str">
        <x:v>M035</x:v>
      </x:c>
      <x:c r="B48" s="14" t="str">
        <x:v>有效观影用户数</x:v>
      </x:c>
      <x:c r="C48" s="28" t="str">
        <x:v>未支持</x:v>
      </x:c>
      <x:c r="D48" s="14" t="str">
        <x:v>总体</x:v>
      </x:c>
      <x:c r="E48" s="14" t="str">
        <x:v>单日、逐日趋势、区间去重人数、日均</x:v>
      </x:c>
      <x:c r="F48" s="14" t="str">
        <x:v>补统一有效观看规则下的区间去重用户数与日趋势。；补区间用户去重查询；不能累加每日人数；补对应维度的完整每日数据（含日期与完整性）</x:v>
      </x:c>
      <x:c r="G48" s="14" t="str">
        <x:v>业务平台及日期</x:v>
      </x:c>
      <x:c r="H48" s="14" t="str">
        <x:v>数值
区间去重人数（同一用户整个区间只计一次）
逐日数值、日期及完整性标记（真实0与缺失分开）</x:v>
      </x:c>
      <x:c r="I48" s="14" t="str">
        <x:v>核心经营总览；视频消费表现</x:v>
      </x:c>
      <x:c r="J48" s="14" t="str">
        <x:v>补齐并接入BI后：
按对应范围查看每日值及趋势；整段时间去重人数，同一用户只计一次；BI算日均，缺失日期不补0</x:v>
      </x:c>
    </x:row>
    <x:row r="49" ht="126" customHeight="1">
      <x:c r="A49" s="14" t="str">
        <x:v>M036</x:v>
      </x:c>
      <x:c r="B49" s="14" t="str">
        <x:v>有效观影率</x:v>
      </x:c>
      <x:c r="C49" s="28" t="str">
        <x:v>未支持</x:v>
      </x:c>
      <x:c r="D49" s="14" t="str">
        <x:v>1. 总体
2. Android / iOS / 客户端未知 / Web；新用户 / 老用户；内部导量 / 自然新增；播放模式；来源渠道；播放触发方式；视频；视频类型；版本 / 版本未知；版本 × (Android / iOS)</x:v>
      </x:c>
      <x:c r="E49" s="14" t="str">
        <x:v>1. 单日、逐日趋势、区间转化率／比率、日对比
2. 单日、逐日趋势、区间转化率／比率</x:v>
      </x:c>
      <x:c r="F49" s="14" t="str">
        <x:v>1）补有效观看次数和对应成功起播次数，按周期重算并返回版本、渠道等拆分。；补同范围区间分子、分母；可累加量复用日值，比率由BI计算；补对应维度的完整每日数据（含日期与完整性）
2）补对应维度的完整每日数据（含日期与完整性）；补同范围区间分子、分母；可累加量复用日值，比率由BI计算</x:v>
      </x:c>
      <x:c r="G49" s="14" t="str">
        <x:v>客户端：Android；客户端：iOS；客户端：客户端未知；客户端：Web；用户类型：新用户；用户类型：老用户；内部导量；自然新增；播放模式；来源渠道；播放触发方式；视频；视频类型；版本；版本未知</x:v>
      </x:c>
      <x:c r="H49" s="14" t="str">
        <x:v>数值、分子、分母
同范围、同口径的区间分子和分母（可累加量可返回日值）
当前日、前一天、上周同日的日期及数值</x:v>
      </x:c>
      <x:c r="I49" s="14" t="str">
        <x:v>核心经营总览；视频消费表现；播放与观看质量；产品体验与启动质量</x:v>
      </x:c>
      <x:c r="J49" s="14" t="str">
        <x:v>补齐并接入BI后：
1）按对应范围查看每日值及趋势；BI用同范围分子÷分母计算区间比率；BI计算较前一天、上周同日的涨跌
2）按对应范围查看每日值及趋势；BI用同范围分子÷分母计算区间比率</x:v>
      </x:c>
    </x:row>
    <x:row r="50" ht="78" customHeight="1">
      <x:c r="A50" s="14" t="str">
        <x:v>M037</x:v>
      </x:c>
      <x:c r="B50" s="14" t="str">
        <x:v>新增用户-有效观影转化率</x:v>
      </x:c>
      <x:c r="C50" s="28" t="str">
        <x:v>未支持</x:v>
      </x:c>
      <x:c r="D50" s="14" t="str">
        <x:v>总体；来源渠道</x:v>
      </x:c>
      <x:c r="E50" s="14" t="str">
        <x:v>单日、逐日趋势、区间转化率／比率</x:v>
      </x:c>
      <x:c r="F50" s="14" t="str">
        <x:v>复用新增用户基础，补同批新增用户的有效观看人数、转化率和来源渠道拆分。；补同范围区间分子、分母；可累加量复用日值，比率由BI计算；补对应维度的完整每日数据（含日期与完整性）</x:v>
      </x:c>
      <x:c r="G50" s="14" t="str">
        <x:v>来源渠道</x:v>
      </x:c>
      <x:c r="H50" s="14" t="str">
        <x:v>数值、分子、分母
同范围、同口径的区间分子和分母（可累加量可返回日值）</x:v>
      </x:c>
      <x:c r="I50" s="14" t="str">
        <x:v>获客与新增</x:v>
      </x:c>
      <x:c r="J50" s="14" t="str">
        <x:v>补齐并接入BI后：
按对应范围查看每日值及趋势；BI用同范围分子÷分母计算区间比率</x:v>
      </x:c>
    </x:row>
    <x:row r="51" ht="78" customHeight="1">
      <x:c r="A51" s="14" t="str">
        <x:v>M038</x:v>
      </x:c>
      <x:c r="B51" s="14" t="str">
        <x:v>二次有效观看用户数</x:v>
      </x:c>
      <x:c r="C51" s="28" t="str">
        <x:v>未支持</x:v>
      </x:c>
      <x:c r="D51" s="14" t="str">
        <x:v>总体；来源渠道</x:v>
      </x:c>
      <x:c r="E51" s="14" t="str">
        <x:v>单日、逐日趋势、区间去重人数、日均</x:v>
      </x:c>
      <x:c r="F51" s="14" t="str">
        <x:v>补首次体验内达到第二次有效观看的去重用户数、日趋势及来源渠道拆分。；补区间用户去重查询；不能累加每日人数；补对应维度的完整每日数据（含日期与完整性）</x:v>
      </x:c>
      <x:c r="G51" s="14" t="str">
        <x:v>来源渠道</x:v>
      </x:c>
      <x:c r="H51" s="14" t="str">
        <x:v>数值
区间去重人数（同一用户整个区间只计一次）
逐日数值、日期及完整性标记（真实0与缺失分开）</x:v>
      </x:c>
      <x:c r="I51" s="14" t="str">
        <x:v>获客与新增</x:v>
      </x:c>
      <x:c r="J51" s="14" t="str">
        <x:v>补齐并接入BI后：
按对应范围查看每日值及趋势；整段时间去重人数，同一用户只计一次；BI算日均，缺失日期不补0</x:v>
      </x:c>
    </x:row>
    <x:row r="52" ht="110" customHeight="1">
      <x:c r="A52" s="14" t="str">
        <x:v>M040</x:v>
      </x:c>
      <x:c r="B52" s="14" t="str">
        <x:v>D1有效观影留存率</x:v>
      </x:c>
      <x:c r="C52" s="28" t="str">
        <x:v>未支持</x:v>
      </x:c>
      <x:c r="D52" s="14" t="str">
        <x:v>有效观看规则版本；(起始日为Android / 起始日为iOS / 起始日客户端未知 / 起始日为Web) × 有效观看规则版本</x:v>
      </x:c>
      <x:c r="E52" s="14" t="str">
        <x:v>单批用户（起始日）、各起始日趋势、多批次留存／复访率</x:v>
      </x:c>
      <x:c r="F52" s="14" t="str">
        <x:v>补对应维度的完整每日数据（含日期与完整性）；补已到观察日的同批用户分子、基数及成熟标记</x:v>
      </x:c>
      <x:c r="G52" s="14" t="str">
        <x:v>用户起始日期；有效观看规则版本；起始日客户端：Android；起始日客户端：iOS；起始日客户端未知；起始日客户端：Web</x:v>
      </x:c>
      <x:c r="H52" s="14" t="str">
        <x:v>起始日、观察日、同批用户分子与基数、是否已到观察日
各起始日批次的分子、基数、观察日、成熟及完整性标记
配套输入：首次有效观看用户数（D0批次基数）、再次有效观看用户数（公式及范围见定义表）</x:v>
      </x:c>
      <x:c r="I52" s="14" t="str">
        <x:v>视频消费表现</x:v>
      </x:c>
      <x:c r="J52" s="14" t="str">
        <x:v>补齐并接入BI后：
各起始日批次数值及趋势；按已成熟批次查看汇总人数／留存结果</x:v>
      </x:c>
    </x:row>
    <x:row r="53" ht="110" customHeight="1">
      <x:c r="A53" s="14" t="str">
        <x:v>M041</x:v>
      </x:c>
      <x:c r="B53" s="14" t="str">
        <x:v>D3有效观影留存率</x:v>
      </x:c>
      <x:c r="C53" s="28" t="str">
        <x:v>未支持</x:v>
      </x:c>
      <x:c r="D53" s="14" t="str">
        <x:v>有效观看规则版本；(起始日为Android / 起始日为iOS / 起始日客户端未知 / 起始日为Web) × 有效观看规则版本</x:v>
      </x:c>
      <x:c r="E53" s="14" t="str">
        <x:v>单批用户（起始日）、各起始日趋势、多批次留存／复访率</x:v>
      </x:c>
      <x:c r="F53" s="14" t="str">
        <x:v>补对应维度的完整每日数据（含日期与完整性）；补已到观察日的同批用户分子、基数及成熟标记</x:v>
      </x:c>
      <x:c r="G53" s="14" t="str">
        <x:v>用户起始日期；有效观看规则版本；起始日客户端：Android；起始日客户端：iOS；起始日客户端未知；起始日客户端：Web</x:v>
      </x:c>
      <x:c r="H53" s="14" t="str">
        <x:v>起始日、观察日、同批用户分子与基数、是否已到观察日
各起始日批次的分子、基数、观察日、成熟及完整性标记
配套输入：首次有效观看用户数（D0批次基数）、再次有效观看用户数（公式及范围见定义表）</x:v>
      </x:c>
      <x:c r="I53" s="14" t="str">
        <x:v>视频消费表现</x:v>
      </x:c>
      <x:c r="J53" s="14" t="str">
        <x:v>补齐并接入BI后：
各起始日批次数值及趋势；按已成熟批次查看汇总人数／留存结果</x:v>
      </x:c>
    </x:row>
    <x:row r="54" ht="110" customHeight="1">
      <x:c r="A54" s="14" t="str">
        <x:v>M042</x:v>
      </x:c>
      <x:c r="B54" s="14" t="str">
        <x:v>D7有效观影留存率</x:v>
      </x:c>
      <x:c r="C54" s="28" t="str">
        <x:v>未支持</x:v>
      </x:c>
      <x:c r="D54" s="14" t="str">
        <x:v>有效观看规则版本；(起始日为Android / 起始日为iOS / 起始日客户端未知 / 起始日为Web) × 有效观看规则版本</x:v>
      </x:c>
      <x:c r="E54" s="14" t="str">
        <x:v>单批用户（起始日）、各起始日趋势、多批次留存／复访率</x:v>
      </x:c>
      <x:c r="F54" s="14" t="str">
        <x:v>补对应维度的完整每日数据（含日期与完整性）；补已到观察日的同批用户分子、基数及成熟标记</x:v>
      </x:c>
      <x:c r="G54" s="14" t="str">
        <x:v>用户起始日期；有效观看规则版本；起始日客户端：Android；起始日客户端：iOS；起始日客户端未知；起始日客户端：Web</x:v>
      </x:c>
      <x:c r="H54" s="14" t="str">
        <x:v>起始日、观察日、同批用户分子与基数、是否已到观察日
各起始日批次的分子、基数、观察日、成熟及完整性标记
配套输入：首次有效观看用户数（D0批次基数）、再次有效观看用户数（公式及范围见定义表）</x:v>
      </x:c>
      <x:c r="I54" s="14" t="str">
        <x:v>视频消费表现</x:v>
      </x:c>
      <x:c r="J54" s="14" t="str">
        <x:v>补齐并接入BI后：
各起始日批次数值及趋势；按已成熟批次查看汇总人数／留存结果</x:v>
      </x:c>
    </x:row>
    <x:row r="55" ht="78" customHeight="1">
      <x:c r="A55" s="14" t="str">
        <x:v>M043</x:v>
      </x:c>
      <x:c r="B55" s="14" t="str">
        <x:v>人均有效观看时长</x:v>
      </x:c>
      <x:c r="C55" s="28" t="str">
        <x:v>未支持</x:v>
      </x:c>
      <x:c r="D55" s="14" t="str">
        <x:v>总体</x:v>
      </x:c>
      <x:c r="E55" s="14" t="str">
        <x:v>单日、逐日趋势、区间人均值</x:v>
      </x:c>
      <x:c r="F55" s="14" t="str">
        <x:v>补有效观看总时长和区间去重有效观影人数，按同一规则计算人均时长。；补区间去重人数及对应总量；可累加总量复用日值，人均由BI计算</x:v>
      </x:c>
      <x:c r="G55" s="14" t="str">
        <x:v>业务平台及日期</x:v>
      </x:c>
      <x:c r="H55" s="14" t="str">
        <x:v>同日总量、同日去重人数（已有口径一致的人均值可复用）
同范围区间总量、区间去重人数（可累加总量可返回日值）</x:v>
      </x:c>
      <x:c r="I55" s="14" t="str">
        <x:v>视频消费表现</x:v>
      </x:c>
      <x:c r="J55" s="14" t="str">
        <x:v>补齐并接入BI后：
按对应范围查看每日值及趋势；BI用区间总量÷区间去重人数计算人均值</x:v>
      </x:c>
    </x:row>
    <x:row r="56" ht="78" customHeight="1">
      <x:c r="A56" s="14" t="str">
        <x:v>M044</x:v>
      </x:c>
      <x:c r="B56" s="14" t="str">
        <x:v>视频内容曝光-点击转化率</x:v>
      </x:c>
      <x:c r="C56" s="28" t="str">
        <x:v>未支持</x:v>
      </x:c>
      <x:c r="D56" s="14" t="str">
        <x:v>总体；Android / iOS / 客户端未知 / Web；列表；页面；位置；来源渠道；推荐策略</x:v>
      </x:c>
      <x:c r="E56" s="14" t="str">
        <x:v>单日、逐日趋势、区间转化率／比率</x:v>
      </x:c>
      <x:c r="F56" s="14" t="str">
        <x:v>补合格曝光与匹配点击的关联统计，返回总体、页面、列表和位置的分子分母。；补同范围区间分子、分母；可累加量复用日值，比率由BI计算；补对应维度的完整每日数据（含日期与完整性）</x:v>
      </x:c>
      <x:c r="G56" s="14" t="str">
        <x:v>客户端：Android；客户端：iOS；客户端：客户端未知；客户端：Web；列表；页面；位置；来源渠道；推荐策略</x:v>
      </x:c>
      <x:c r="H56" s="14" t="str">
        <x:v>数值、分子、分母
同范围、同口径的区间分子和分母（可累加量可返回日值）</x:v>
      </x:c>
      <x:c r="I56" s="14" t="str">
        <x:v>内容发现与互动</x:v>
      </x:c>
      <x:c r="J56" s="14" t="str">
        <x:v>补齐并接入BI后：
按对应范围查看每日值及趋势；BI用同范围分子÷分母计算区间比率</x:v>
      </x:c>
    </x:row>
    <x:row r="57" ht="78" customHeight="1">
      <x:c r="A57" s="14" t="str">
        <x:v>M046</x:v>
      </x:c>
      <x:c r="B57" s="14" t="str">
        <x:v>搜索结果-内容点击转化率</x:v>
      </x:c>
      <x:c r="C57" s="28" t="str">
        <x:v>未支持</x:v>
      </x:c>
      <x:c r="D57" s="14" t="str">
        <x:v>总体；搜索词；搜索类型；来源渠道</x:v>
      </x:c>
      <x:c r="E57" s="14" t="str">
        <x:v>单日、逐日趋势、区间转化率／比率</x:v>
      </x:c>
      <x:c r="F57" s="14" t="str">
        <x:v>关联搜索结果与内容点击，补有结果搜索数、产生点击的搜索数及搜索词、类型拆分。；补同范围区间分子、分母；可累加量复用日值，比率由BI计算；补对应维度的完整每日数据（含日期与完整性）</x:v>
      </x:c>
      <x:c r="G57" s="14" t="str">
        <x:v>搜索词；搜索类型；来源渠道</x:v>
      </x:c>
      <x:c r="H57" s="14" t="str">
        <x:v>数值、分子、分母
同范围、同口径的区间分子和分母（可累加量可返回日值）</x:v>
      </x:c>
      <x:c r="I57" s="14" t="str">
        <x:v>内容发现与互动</x:v>
      </x:c>
      <x:c r="J57" s="14" t="str">
        <x:v>补齐并接入BI后：
按对应范围查看每日值及趋势；BI用同范围分子÷分母计算区间比率</x:v>
      </x:c>
    </x:row>
    <x:row r="58" ht="62" customHeight="1">
      <x:c r="A58" s="14" t="str">
        <x:v>M047</x:v>
      </x:c>
      <x:c r="B58" s="14" t="str">
        <x:v>点赞数</x:v>
      </x:c>
      <x:c r="C58" s="28" t="str">
        <x:v>未支持</x:v>
      </x:c>
      <x:c r="D58" s="14" t="str">
        <x:v>总体；视频；视频类型</x:v>
      </x:c>
      <x:c r="E58" s="14" t="str">
        <x:v>单日、逐日趋势、区间合计、日均</x:v>
      </x:c>
      <x:c r="F58" s="14" t="str">
        <x:v>核对点赞字段的行为日期和取消规则，补完整视频、类型排行及逐日结果。；补对应维度的完整每日数据（含日期与完整性）</x:v>
      </x:c>
      <x:c r="G58" s="14" t="str">
        <x:v>视频；视频类型</x:v>
      </x:c>
      <x:c r="H58" s="14" t="str">
        <x:v>数值
逐日数值、日期及完整性标记（真实0与缺失分开）</x:v>
      </x:c>
      <x:c r="I58" s="14" t="str">
        <x:v>内容发现与互动</x:v>
      </x:c>
      <x:c r="J58" s="14" t="str">
        <x:v>补齐并接入BI后：
按对应范围查看每日值及趋势；BI累加每日值，得到所选区间合计；BI算日均，缺失日期不补0</x:v>
      </x:c>
    </x:row>
    <x:row r="59" ht="62" customHeight="1">
      <x:c r="A59" s="14" t="str">
        <x:v>M048</x:v>
      </x:c>
      <x:c r="B59" s="14" t="str">
        <x:v>收藏数</x:v>
      </x:c>
      <x:c r="C59" s="28" t="str">
        <x:v>未支持</x:v>
      </x:c>
      <x:c r="D59" s="14" t="str">
        <x:v>总体；视频；视频类型</x:v>
      </x:c>
      <x:c r="E59" s="14" t="str">
        <x:v>单日、逐日趋势、区间合计、日均</x:v>
      </x:c>
      <x:c r="F59" s="14" t="str">
        <x:v>核对收藏字段的行为日期和取消规则，补完整视频、类型排行及逐日结果。；补对应维度的完整每日数据（含日期与完整性）</x:v>
      </x:c>
      <x:c r="G59" s="14" t="str">
        <x:v>视频；视频类型</x:v>
      </x:c>
      <x:c r="H59" s="14" t="str">
        <x:v>数值
逐日数值、日期及完整性标记（真实0与缺失分开）</x:v>
      </x:c>
      <x:c r="I59" s="14" t="str">
        <x:v>内容发现与互动</x:v>
      </x:c>
      <x:c r="J59" s="14" t="str">
        <x:v>补齐并接入BI后：
按对应范围查看每日值及趋势；BI累加每日值，得到所选区间合计；BI算日均，缺失日期不补0</x:v>
      </x:c>
    </x:row>
    <x:row r="60" ht="78" customHeight="1">
      <x:c r="A60" s="14" t="str">
        <x:v>M049</x:v>
      </x:c>
      <x:c r="B60" s="14" t="str">
        <x:v>作者关注生效用户数</x:v>
      </x:c>
      <x:c r="C60" s="28" t="str">
        <x:v>未支持</x:v>
      </x:c>
      <x:c r="D60" s="14" t="str">
        <x:v>总体；作者</x:v>
      </x:c>
      <x:c r="E60" s="14" t="str">
        <x:v>单日、逐日趋势、区间去重人数、日均</x:v>
      </x:c>
      <x:c r="F60" s="14" t="str">
        <x:v>补作者关注生效用户的区间去重、作者排行与日趋势，不推定来源视频。；补区间用户去重查询；不能累加每日人数；补对应维度的完整每日数据（含日期与完整性）</x:v>
      </x:c>
      <x:c r="G60" s="14" t="str">
        <x:v>作者</x:v>
      </x:c>
      <x:c r="H60" s="14" t="str">
        <x:v>数值
区间去重人数（同一用户整个区间只计一次）
逐日数值、日期及完整性标记（真实0与缺失分开）</x:v>
      </x:c>
      <x:c r="I60" s="14" t="str">
        <x:v>内容发现与互动</x:v>
      </x:c>
      <x:c r="J60" s="14" t="str">
        <x:v>补齐并接入BI后：
按对应范围查看每日值及趋势；整段时间去重人数，同一用户只计一次；BI算日均，缺失日期不补0</x:v>
      </x:c>
    </x:row>
    <x:row r="61" ht="78" customHeight="1">
      <x:c r="A61" s="14" t="str">
        <x:v>M050</x:v>
      </x:c>
      <x:c r="B61" s="14" t="str">
        <x:v>社区帖子曝光-点击转化率</x:v>
      </x:c>
      <x:c r="C61" s="28" t="str">
        <x:v>未支持</x:v>
      </x:c>
      <x:c r="D61" s="14" t="str">
        <x:v>总体；列表；位置；帖子</x:v>
      </x:c>
      <x:c r="E61" s="14" t="str">
        <x:v>单日、逐日趋势、区间转化率／比率</x:v>
      </x:c>
      <x:c r="F61" s="14" t="str">
        <x:v>补帖子合格曝光与匹配点击，按列表、位置和帖子返回分子分母及周期结果。；补同范围区间分子、分母；可累加量复用日值，比率由BI计算；补对应维度的完整每日数据（含日期与完整性）</x:v>
      </x:c>
      <x:c r="G61" s="14" t="str">
        <x:v>列表；位置；帖子</x:v>
      </x:c>
      <x:c r="H61" s="14" t="str">
        <x:v>数值、分子、分母
同范围、同口径的区间分子和分母（可累加量可返回日值）</x:v>
      </x:c>
      <x:c r="I61" s="14" t="str">
        <x:v>内容发现与互动</x:v>
      </x:c>
      <x:c r="J61" s="14" t="str">
        <x:v>补齐并接入BI后：
按对应范围查看每日值及趋势；BI用同范围分子÷分母计算区间比率</x:v>
      </x:c>
    </x:row>
    <x:row r="62" ht="78" customHeight="1">
      <x:c r="A62" s="14" t="str">
        <x:v>M051</x:v>
      </x:c>
      <x:c r="B62" s="14" t="str">
        <x:v>评论提交用户数</x:v>
      </x:c>
      <x:c r="C62" s="28" t="str">
        <x:v>未支持</x:v>
      </x:c>
      <x:c r="D62" s="14" t="str">
        <x:v>总体；内容；内容类型</x:v>
      </x:c>
      <x:c r="E62" s="14" t="str">
        <x:v>单日、逐日趋势、区间去重人数、日均</x:v>
      </x:c>
      <x:c r="F62" s="14" t="str">
        <x:v>补合法评论提交用户的区间去重及内容、类型拆分，评论次数不能代替人数。；补区间用户去重查询；不能累加每日人数；补对应维度的完整每日数据（含日期与完整性）</x:v>
      </x:c>
      <x:c r="G62" s="14" t="str">
        <x:v>内容；内容类型</x:v>
      </x:c>
      <x:c r="H62" s="14" t="str">
        <x:v>数值
区间去重人数（同一用户整个区间只计一次）
逐日数值、日期及完整性标记（真实0与缺失分开）</x:v>
      </x:c>
      <x:c r="I62" s="14" t="str">
        <x:v>内容发现与互动</x:v>
      </x:c>
      <x:c r="J62" s="14" t="str">
        <x:v>补齐并接入BI后：
按对应范围查看每日值及趋势；整段时间去重人数，同一用户只计一次；BI算日均，缺失日期不补0</x:v>
      </x:c>
    </x:row>
    <x:row r="63" ht="126" customHeight="1">
      <x:c r="A63" s="14" t="str">
        <x:v>M052</x:v>
      </x:c>
      <x:c r="B63" s="14" t="str">
        <x:v>底部导航Tab渗透率</x:v>
      </x:c>
      <x:c r="C63" s="28" t="str">
        <x:v>未支持</x:v>
      </x:c>
      <x:c r="D63" s="14" t="str">
        <x:v>底部导航Tab</x:v>
      </x:c>
      <x:c r="E63" s="14" t="str">
        <x:v>单日、逐日趋势、区间转化率／比率</x:v>
      </x:c>
      <x:c r="F63" s="14" t="str">
        <x:v>补对应维度的完整每日数据（含日期与完整性）；补同范围区间分子、分母；可累加量复用日值，比率由BI计算</x:v>
      </x:c>
      <x:c r="G63" s="14" t="str">
        <x:v>底部导航Tab</x:v>
      </x:c>
      <x:c r="H63" s="14" t="str">
        <x:v>Tab稳定ID、名称、位置及逐Tab数据状态；当前期与对比期分别返回
数值、分子、分母
同范围、同口径的区间分子和分母（可累加量可返回日值）
配套输入：同范围活跃用户基数（公式及范围见定义表）</x:v>
      </x:c>
      <x:c r="I63" s="14" t="str">
        <x:v>功能使用概览</x:v>
      </x:c>
      <x:c r="J63" s="14" t="str">
        <x:v>补齐并接入BI后：
按对应范围查看每日值及趋势；BI用同范围分子÷分母计算区间比率；BI复用两期同口径输入，对比所选周期与对比周期</x:v>
      </x:c>
    </x:row>
    <x:row r="64" ht="78" customHeight="1">
      <x:c r="A64" s="14" t="str">
        <x:v>M055</x:v>
      </x:c>
      <x:c r="B64" s="14" t="str">
        <x:v>广告点击次数</x:v>
      </x:c>
      <x:c r="C64" s="22" t="str">
        <x:v>支持</x:v>
      </x:c>
      <x:c r="D64" s="14" t="str">
        <x:v>后台总点击 / 导航广告 / 广告；(后台总点击 / 导航广告 / 广告) × 新用户</x:v>
      </x:c>
      <x:c r="E64" s="14" t="str">
        <x:v>单日、逐日趋势、区间合计、日均、日对比</x:v>
      </x:c>
      <x:c r="F64" s="14" t="str">
        <x:v>现有数据与BI计算已支持，无需新增接口；待业务验数。</x:v>
      </x:c>
      <x:c r="G64" s="14" t="str">
        <x:v>后台总点击；导航广告；广告；用户类型：新用户</x:v>
      </x:c>
      <x:c r="H64" s="14" t="str">
        <x:v>数值
逐日数值、日期及完整性标记（真实0与缺失分开）
当前日、前一天、上周同日的日期及数值</x:v>
      </x:c>
      <x:c r="I64" s="14" t="str">
        <x:v>核心经营总览</x:v>
      </x:c>
      <x:c r="J64" s="14" t="str">
        <x:v>已支持：
按对应范围查看每日值及趋势；BI累加每日值，得到所选区间合计；BI算日均，缺失日期不补0；BI计算较前一天、上周同日的涨跌</x:v>
      </x:c>
    </x:row>
    <x:row r="65" ht="78" customHeight="1">
      <x:c r="A65" s="13"/>
      <x:c r="B65" s="13"/>
      <x:c r="C65" s="24" t="str">
        <x:v>未支持</x:v>
      </x:c>
      <x:c r="D65" s="13" t="str">
        <x:v>总体；新用户</x:v>
      </x:c>
      <x:c r="E65" s="13" t="str">
        <x:v>单日、逐日趋势、区间合计、日均、日对比</x:v>
      </x:c>
      <x:c r="F65" s="13" t="str">
        <x:v>核对普通广告、导航广告及后台总点击的覆盖差异，补独立总体和新增用户结果。；补对应维度的完整每日数据（含日期与完整性）</x:v>
      </x:c>
      <x:c r="G65" s="13" t="str">
        <x:v>用户类型：新用户</x:v>
      </x:c>
      <x:c r="H65" s="13" t="str">
        <x:v>数值
逐日数值、日期及完整性标记（真实0与缺失分开）
当前日、前一天、上周同日的日期及数值</x:v>
      </x:c>
      <x:c r="I65" s="13" t="str">
        <x:v>核心经营总览</x:v>
      </x:c>
      <x:c r="J65" s="13" t="str">
        <x:v>补齐并接入BI后：
按对应范围查看每日值及趋势；BI累加每日值，得到所选区间合计；BI算日均，缺失日期不补0；BI计算较前一天、上周同日的涨跌</x:v>
      </x:c>
    </x:row>
    <x:row r="66" ht="78" customHeight="1">
      <x:c r="A66" s="14" t="str">
        <x:v>M058</x:v>
      </x:c>
      <x:c r="B66" s="14" t="str">
        <x:v>总充值金额</x:v>
      </x:c>
      <x:c r="C66" s="22" t="str">
        <x:v>支持</x:v>
      </x:c>
      <x:c r="D66" s="14" t="str">
        <x:v>总体；新用户；(内部导量 / 自然新增) × 新用户</x:v>
      </x:c>
      <x:c r="E66" s="14" t="str">
        <x:v>单日、逐日趋势、区间合计、日均、日对比</x:v>
      </x:c>
      <x:c r="F66" s="14" t="str">
        <x:v>现有数据与BI计算已支持，无需新增接口；待业务验数。</x:v>
      </x:c>
      <x:c r="G66" s="14" t="str">
        <x:v>用户类型：新用户；内部导量；自然新增</x:v>
      </x:c>
      <x:c r="H66" s="14" t="str">
        <x:v>数值
逐日数值、日期及完整性标记（真实0与缺失分开）
当前日、前一天、上周同日的日期及数值</x:v>
      </x:c>
      <x:c r="I66" s="14" t="str">
        <x:v>核心经营总览；获客与新增；会员与付费经营；支付链路与到账质量</x:v>
      </x:c>
      <x:c r="J66" s="14" t="str">
        <x:v>已支持：
按对应范围查看每日值及趋势；BI累加每日值，得到所选区间合计；BI算日均，缺失日期不补0；BI计算较前一天、上周同日的涨跌</x:v>
      </x:c>
    </x:row>
    <x:row r="67" ht="62" customHeight="1">
      <x:c r="A67" s="13"/>
      <x:c r="B67" s="13"/>
      <x:c r="C67" s="30" t="str">
        <x:v>部分支持</x:v>
      </x:c>
      <x:c r="D67" s="13" t="str">
        <x:v>VIP商品 / 金币商品</x:v>
      </x:c>
      <x:c r="E67" s="13" t="str">
        <x:v>单日、逐日趋势、区间合计、日均</x:v>
      </x:c>
      <x:c r="F67" s="13" t="str">
        <x:v>BI复用已有VIP／金币金额并关联商品筛选；无需重复接口</x:v>
      </x:c>
      <x:c r="G67" s="13" t="str">
        <x:v>商品类型：VIP商品；商品类型：金币商品</x:v>
      </x:c>
      <x:c r="H67" s="13" t="str">
        <x:v>数值
逐日数值、日期及完整性标记（真实0与缺失分开）</x:v>
      </x:c>
      <x:c r="I67" s="13" t="str">
        <x:v>会员与付费经营</x:v>
      </x:c>
      <x:c r="J67" s="13" t="str">
        <x:v>补齐并接入BI后：
按对应范围查看每日值及趋势；BI累加每日值，得到所选区间合计；BI算日均，缺失日期不补0</x:v>
      </x:c>
    </x:row>
    <x:row r="68" ht="94" customHeight="1">
      <x:c r="A68" s="13"/>
      <x:c r="B68" s="13"/>
      <x:c r="C68" s="24" t="str">
        <x:v>未支持</x:v>
      </x:c>
      <x:c r="D68" s="13" t="str">
        <x:v>Android / iOS / 客户端未知 / Web；老用户；微信 / 支付宝；来源渠道；(Android / iOS / Web) × (VIP商品 / 金币商品)；(Android / iOS / 客户端未知 / Web) × (新用户 / 老用户)</x:v>
      </x:c>
      <x:c r="E68" s="13" t="str">
        <x:v>单日、逐日趋势、区间合计、日均</x:v>
      </x:c>
      <x:c r="F68" s="13" t="str">
        <x:v>补对应维度的完整每日数据（含日期与完整性）</x:v>
      </x:c>
      <x:c r="G68" s="13" t="str">
        <x:v>客户端：Android；客户端：iOS；客户端：客户端未知；客户端：Web；用户类型：老用户；支付方式：微信；支付方式：支付宝；来源渠道；商品类型：VIP商品；商品类型：金币商品；用户类型：新用户</x:v>
      </x:c>
      <x:c r="H68" s="13" t="str">
        <x:v>数值
逐日数值、日期及完整性标记（真实0与缺失分开）</x:v>
      </x:c>
      <x:c r="I68" s="13" t="str">
        <x:v>会员与付费经营；支付链路与到账质量；获客与新增</x:v>
      </x:c>
      <x:c r="J68" s="13" t="str">
        <x:v>补齐并接入BI后：
按对应范围查看每日值及趋势；BI累加每日值，得到所选区间合计；BI算日均，缺失日期不补0</x:v>
      </x:c>
    </x:row>
    <x:row r="69" ht="62" customHeight="1">
      <x:c r="A69" s="14" t="str">
        <x:v>M059</x:v>
      </x:c>
      <x:c r="B69" s="14" t="str">
        <x:v>付费用户数</x:v>
      </x:c>
      <x:c r="C69" s="22" t="str">
        <x:v>支持</x:v>
      </x:c>
      <x:c r="D69" s="14" t="str">
        <x:v>总体；新用户</x:v>
      </x:c>
      <x:c r="E69" s="14" t="str">
        <x:v>单日、逐日趋势、日均、日对比</x:v>
      </x:c>
      <x:c r="F69" s="14" t="str">
        <x:v>现有数据与BI计算已支持，无需新增接口；待业务验数。</x:v>
      </x:c>
      <x:c r="G69" s="14" t="str">
        <x:v>用户类型：新用户</x:v>
      </x:c>
      <x:c r="H69" s="14" t="str">
        <x:v>数值
逐日数值、日期及完整性标记（真实0与缺失分开）
当前日、前一天、上周同日的日期及数值</x:v>
      </x:c>
      <x:c r="I69" s="14" t="str">
        <x:v>核心经营总览；获客与新增；会员与付费经营；支付链路与到账质量</x:v>
      </x:c>
      <x:c r="J69" s="14" t="str">
        <x:v>已支持：
按对应范围查看每日值及趋势；BI算日均，缺失日期不补0；BI计算较前一天、上周同日的涨跌</x:v>
      </x:c>
    </x:row>
    <x:row r="70" ht="94" customHeight="1">
      <x:c r="A70" s="13"/>
      <x:c r="B70" s="13"/>
      <x:c r="C70" s="24" t="str">
        <x:v>未支持</x:v>
      </x:c>
      <x:c r="D70" s="13" t="str">
        <x:v>1. 总体；新用户
2. Android / iOS / 客户端未知 / Web；老用户；微信 / 支付宝；VIP商品 / 金币商品；来源渠道；(Android / iOS / 客户端未知 / Web) × (新用户 / 老用户)</x:v>
      </x:c>
      <x:c r="E70" s="13" t="str">
        <x:v>1. 区间去重人数
2. 单日、逐日趋势、区间去重人数、日均</x:v>
      </x:c>
      <x:c r="F70" s="13" t="str">
        <x:v>1）补区间用户去重查询；不能累加每日人数
2）补对应维度的完整每日数据（含日期与完整性）；补区间用户去重查询；不能累加每日人数</x:v>
      </x:c>
      <x:c r="G70" s="13" t="str">
        <x:v>客户端：Android；客户端：iOS；客户端：客户端未知；客户端：Web；用户类型：新用户；用户类型：老用户；支付方式：微信；支付方式：支付宝；商品类型：VIP商品；商品类型：金币商品；来源渠道</x:v>
      </x:c>
      <x:c r="H70" s="13" t="str">
        <x:v>区间去重人数（同一用户整个区间只计一次）
数值
逐日数值、日期及完整性标记（真实0与缺失分开）</x:v>
      </x:c>
      <x:c r="I70" s="13" t="str">
        <x:v>核心经营总览；获客与新增；会员与付费经营；支付链路与到账质量</x:v>
      </x:c>
      <x:c r="J70" s="13" t="str">
        <x:v>补齐并接入BI后：
1）整段时间去重人数，同一用户只计一次
2）按对应范围查看每日值及趋势；整段时间去重人数，同一用户只计一次；BI算日均，缺失日期不补0</x:v>
      </x:c>
    </x:row>
    <x:row r="71" ht="78" customHeight="1">
      <x:c r="A71" s="14" t="str">
        <x:v>M060</x:v>
      </x:c>
      <x:c r="B71" s="14" t="str">
        <x:v>支付成功订单数</x:v>
      </x:c>
      <x:c r="C71" s="22" t="str">
        <x:v>支持</x:v>
      </x:c>
      <x:c r="D71" s="14" t="str">
        <x:v>总体；微信 / 支付宝</x:v>
      </x:c>
      <x:c r="E71" s="14" t="str">
        <x:v>单日、逐日趋势、区间合计、日均、日对比</x:v>
      </x:c>
      <x:c r="F71" s="14" t="str">
        <x:v>现有数据与BI计算已支持，无需新增接口；待业务验数。</x:v>
      </x:c>
      <x:c r="G71" s="14" t="str">
        <x:v>支付方式：微信；支付方式：支付宝</x:v>
      </x:c>
      <x:c r="H71" s="14" t="str">
        <x:v>数值
逐日数值、日期及完整性标记（真实0与缺失分开）
当前日、前一天、上周同日的日期及数值</x:v>
      </x:c>
      <x:c r="I71" s="14" t="str">
        <x:v>核心经营总览；会员与付费经营；支付链路与到账质量</x:v>
      </x:c>
      <x:c r="J71" s="14" t="str">
        <x:v>已支持：
按对应范围查看每日值及趋势；BI累加每日值，得到所选区间合计；BI算日均，缺失日期不补0；BI计算较前一天、上周同日的涨跌</x:v>
      </x:c>
    </x:row>
    <x:row r="72" ht="78" customHeight="1">
      <x:c r="A72" s="14" t="str">
        <x:v>M061</x:v>
      </x:c>
      <x:c r="B72" s="14" t="str">
        <x:v>活跃用户-付费转化率</x:v>
      </x:c>
      <x:c r="C72" s="22" t="str">
        <x:v>支持</x:v>
      </x:c>
      <x:c r="D72" s="14" t="str">
        <x:v>总体</x:v>
      </x:c>
      <x:c r="E72" s="14" t="str">
        <x:v>单日、逐日趋势、日对比</x:v>
      </x:c>
      <x:c r="F72" s="14" t="str">
        <x:v>现有数据与BI计算已支持，无需新增接口；待业务验数。</x:v>
      </x:c>
      <x:c r="G72" s="14" t="str">
        <x:v>业务平台及日期</x:v>
      </x:c>
      <x:c r="H72" s="14" t="str">
        <x:v>数值、分子、分母
当前日、前一天、上周同日的日期及数值
配套输入：支付方式同范围活跃用户基数（公式及范围见定义表）</x:v>
      </x:c>
      <x:c r="I72" s="14" t="str">
        <x:v>核心经营总览；会员与付费经营；支付链路与到账质量</x:v>
      </x:c>
      <x:c r="J72" s="14" t="str">
        <x:v>已支持：
按对应范围查看每日值及趋势；BI计算较前一天、上周同日的涨跌</x:v>
      </x:c>
    </x:row>
    <x:row r="73" ht="94" customHeight="1">
      <x:c r="A73" s="13"/>
      <x:c r="B73" s="13"/>
      <x:c r="C73" s="24" t="str">
        <x:v>未支持</x:v>
      </x:c>
      <x:c r="D73" s="13" t="str">
        <x:v>1. 总体
2. Android / iOS / 客户端未知 / Web；新用户 / 老用户；微信 / 支付宝；VIP商品 / 金币商品；来源渠道；(Android / iOS / 客户端未知 / Web) × (新用户 / 老用户)</x:v>
      </x:c>
      <x:c r="E73" s="13" t="str">
        <x:v>1. 区间转化率／比率
2. 单日、逐日趋势、区间转化率／比率</x:v>
      </x:c>
      <x:c r="F73" s="13" t="str">
        <x:v>1）补同范围区间分子、分母；可累加量复用日值，比率由BI计算
2）补对应维度的完整每日数据（含日期与完整性）；补同范围区间分子、分母；可累加量复用日值，比率由BI计算</x:v>
      </x:c>
      <x:c r="G73" s="13" t="str">
        <x:v>客户端：Android；客户端：iOS；客户端：客户端未知；客户端：Web；用户类型：新用户；用户类型：老用户；支付方式：微信；支付方式：支付宝；商品类型：VIP商品；商品类型：金币商品；来源渠道</x:v>
      </x:c>
      <x:c r="H73" s="13" t="str">
        <x:v>同范围、同口径的区间分子和分母（可累加量可返回日值）
数值、分子、分母
配套输入：支付方式同范围活跃用户基数（公式及范围见定义表）</x:v>
      </x:c>
      <x:c r="I73" s="13" t="str">
        <x:v>核心经营总览；会员与付费经营；支付链路与到账质量</x:v>
      </x:c>
      <x:c r="J73" s="13" t="str">
        <x:v>补齐并接入BI后：
1）BI用同范围分子÷分母计算区间比率
2）按对应范围查看每日值及趋势；BI用同范围分子÷分母计算区间比率</x:v>
      </x:c>
    </x:row>
    <x:row r="74" ht="62" customHeight="1">
      <x:c r="A74" s="14" t="str">
        <x:v>M064</x:v>
      </x:c>
      <x:c r="B74" s="14" t="str">
        <x:v>新增用户-付费转化率</x:v>
      </x:c>
      <x:c r="C74" s="22" t="str">
        <x:v>支持</x:v>
      </x:c>
      <x:c r="D74" s="14" t="str">
        <x:v>总体</x:v>
      </x:c>
      <x:c r="E74" s="14" t="str">
        <x:v>单日、逐日趋势、日对比</x:v>
      </x:c>
      <x:c r="F74" s="14" t="str">
        <x:v>现有数据与BI计算已支持，无需新增接口；待业务验数。</x:v>
      </x:c>
      <x:c r="G74" s="14" t="str">
        <x:v>业务平台及日期</x:v>
      </x:c>
      <x:c r="H74" s="14" t="str">
        <x:v>数值、分子、分母
当前日、前一天、上周同日的日期及数值</x:v>
      </x:c>
      <x:c r="I74" s="14" t="str">
        <x:v>核心经营总览；获客与新增；会员与付费经营</x:v>
      </x:c>
      <x:c r="J74" s="14" t="str">
        <x:v>已支持：
按对应范围查看每日值及趋势；BI计算较前一天、上周同日的涨跌</x:v>
      </x:c>
    </x:row>
    <x:row r="75" ht="94" customHeight="1">
      <x:c r="A75" s="13"/>
      <x:c r="B75" s="13"/>
      <x:c r="C75" s="24" t="str">
        <x:v>未支持</x:v>
      </x:c>
      <x:c r="D75" s="13" t="str">
        <x:v>1. 总体
2. 来源渠道</x:v>
      </x:c>
      <x:c r="E75" s="13" t="str">
        <x:v>1. 区间转化率／比率
2. 单日、逐日趋势、区间转化率／比率</x:v>
      </x:c>
      <x:c r="F75" s="13" t="str">
        <x:v>1）补同范围区间分子、分母；可累加量复用日值，比率由BI计算
2）补对应维度的完整每日数据（含日期与完整性）；补同范围区间分子、分母；可累加量复用日值，比率由BI计算</x:v>
      </x:c>
      <x:c r="G75" s="13" t="str">
        <x:v>来源渠道</x:v>
      </x:c>
      <x:c r="H75" s="13" t="str">
        <x:v>同范围、同口径的区间分子和分母（可累加量可返回日值）
数值、分子、分母</x:v>
      </x:c>
      <x:c r="I75" s="13" t="str">
        <x:v>核心经营总览；获客与新增；会员与付费经营</x:v>
      </x:c>
      <x:c r="J75" s="13" t="str">
        <x:v>补齐并接入BI后：
1）BI用同范围分子÷分母计算区间比率
2）按对应范围查看每日值及趋势；BI用同范围分子÷分母计算区间比率</x:v>
      </x:c>
    </x:row>
    <x:row r="76" ht="78" customHeight="1">
      <x:c r="A76" s="14" t="str">
        <x:v>M065</x:v>
      </x:c>
      <x:c r="B76" s="14" t="str">
        <x:v>VIP充值金额</x:v>
      </x:c>
      <x:c r="C76" s="22" t="str">
        <x:v>支持</x:v>
      </x:c>
      <x:c r="D76" s="14" t="str">
        <x:v>总体；新用户</x:v>
      </x:c>
      <x:c r="E76" s="14" t="str">
        <x:v>单日、逐日趋势、区间合计、日均、日对比</x:v>
      </x:c>
      <x:c r="F76" s="14" t="str">
        <x:v>现有数据与BI计算已支持，无需新增接口；待业务验数。</x:v>
      </x:c>
      <x:c r="G76" s="14" t="str">
        <x:v>用户类型：新用户</x:v>
      </x:c>
      <x:c r="H76" s="14" t="str">
        <x:v>数值
逐日数值、日期及完整性标记（真实0与缺失分开）
当前日、前一天、上周同日的日期及数值</x:v>
      </x:c>
      <x:c r="I76" s="14" t="str">
        <x:v>会员与付费经营；核心经营总览</x:v>
      </x:c>
      <x:c r="J76" s="14" t="str">
        <x:v>已支持：
按对应范围查看每日值及趋势；BI累加每日值，得到所选区间合计；BI算日均，缺失日期不补0；BI计算较前一天、上周同日的涨跌</x:v>
      </x:c>
    </x:row>
    <x:row r="77" ht="62" customHeight="1">
      <x:c r="A77" s="13"/>
      <x:c r="B77" s="13"/>
      <x:c r="C77" s="24" t="str">
        <x:v>未支持</x:v>
      </x:c>
      <x:c r="D77" s="13" t="str">
        <x:v>Android / iOS / 客户端未知 / Web</x:v>
      </x:c>
      <x:c r="E77" s="13" t="str">
        <x:v>单日、逐日趋势、区间合计、日均</x:v>
      </x:c>
      <x:c r="F77" s="13" t="str">
        <x:v>补对应维度的完整每日数据（含日期与完整性）</x:v>
      </x:c>
      <x:c r="G77" s="13" t="str">
        <x:v>客户端：Android；客户端：iOS；客户端：客户端未知；客户端：Web</x:v>
      </x:c>
      <x:c r="H77" s="13" t="str">
        <x:v>数值
逐日数值、日期及完整性标记（真实0与缺失分开）</x:v>
      </x:c>
      <x:c r="I77" s="13" t="str">
        <x:v>会员与付费经营</x:v>
      </x:c>
      <x:c r="J77" s="13" t="str">
        <x:v>补齐并接入BI后：
按对应范围查看每日值及趋势；BI累加每日值，得到所选区间合计；BI算日均，缺失日期不补0</x:v>
      </x:c>
    </x:row>
    <x:row r="78" ht="78" customHeight="1">
      <x:c r="A78" s="14" t="str">
        <x:v>M066</x:v>
      </x:c>
      <x:c r="B78" s="14" t="str">
        <x:v>金币充值金额</x:v>
      </x:c>
      <x:c r="C78" s="22" t="str">
        <x:v>支持</x:v>
      </x:c>
      <x:c r="D78" s="14" t="str">
        <x:v>总体；新用户</x:v>
      </x:c>
      <x:c r="E78" s="14" t="str">
        <x:v>单日、逐日趋势、区间合计、日均、日对比</x:v>
      </x:c>
      <x:c r="F78" s="14" t="str">
        <x:v>现有数据与BI计算已支持，无需新增接口；待业务验数。</x:v>
      </x:c>
      <x:c r="G78" s="14" t="str">
        <x:v>用户类型：新用户</x:v>
      </x:c>
      <x:c r="H78" s="14" t="str">
        <x:v>数值
逐日数值、日期及完整性标记（真实0与缺失分开）
当前日、前一天、上周同日的日期及数值</x:v>
      </x:c>
      <x:c r="I78" s="14" t="str">
        <x:v>会员与付费经营；核心经营总览</x:v>
      </x:c>
      <x:c r="J78" s="14" t="str">
        <x:v>已支持：
按对应范围查看每日值及趋势；BI累加每日值，得到所选区间合计；BI算日均，缺失日期不补0；BI计算较前一天、上周同日的涨跌</x:v>
      </x:c>
    </x:row>
    <x:row r="79" ht="62" customHeight="1">
      <x:c r="A79" s="13"/>
      <x:c r="B79" s="13"/>
      <x:c r="C79" s="24" t="str">
        <x:v>未支持</x:v>
      </x:c>
      <x:c r="D79" s="13" t="str">
        <x:v>Android / iOS / 客户端未知 / Web</x:v>
      </x:c>
      <x:c r="E79" s="13" t="str">
        <x:v>单日、逐日趋势、区间合计、日均</x:v>
      </x:c>
      <x:c r="F79" s="13" t="str">
        <x:v>补对应维度的完整每日数据（含日期与完整性）</x:v>
      </x:c>
      <x:c r="G79" s="13" t="str">
        <x:v>客户端：Android；客户端：iOS；客户端：客户端未知；客户端：Web</x:v>
      </x:c>
      <x:c r="H79" s="13" t="str">
        <x:v>数值
逐日数值、日期及完整性标记（真实0与缺失分开）</x:v>
      </x:c>
      <x:c r="I79" s="13" t="str">
        <x:v>会员与付费经营</x:v>
      </x:c>
      <x:c r="J79" s="13" t="str">
        <x:v>补齐并接入BI后：
按对应范围查看每日值及趋势；BI累加每日值，得到所选区间合计；BI算日均，缺失日期不补0</x:v>
      </x:c>
    </x:row>
    <x:row r="80" ht="62" customHeight="1">
      <x:c r="A80" s="14" t="str">
        <x:v>M067</x:v>
      </x:c>
      <x:c r="B80" s="14" t="str">
        <x:v>付费用户人均充值金额（ARPPU）</x:v>
      </x:c>
      <x:c r="C80" s="22" t="str">
        <x:v>支持</x:v>
      </x:c>
      <x:c r="D80" s="14" t="str">
        <x:v>总体；新用户</x:v>
      </x:c>
      <x:c r="E80" s="14" t="str">
        <x:v>单日、逐日趋势、日对比</x:v>
      </x:c>
      <x:c r="F80" s="14" t="str">
        <x:v>现有数据与BI计算已支持，无需新增接口；待业务验数。</x:v>
      </x:c>
      <x:c r="G80" s="14" t="str">
        <x:v>用户类型：新用户</x:v>
      </x:c>
      <x:c r="H80" s="14" t="str">
        <x:v>同日总量、同日去重人数（已有口径一致的人均值可复用）
当前日、前一天、上周同日的日期及数值</x:v>
      </x:c>
      <x:c r="I80" s="14" t="str">
        <x:v>核心经营总览；获客与新增；会员与付费经营；支付链路与到账质量</x:v>
      </x:c>
      <x:c r="J80" s="14" t="str">
        <x:v>已支持：
按对应范围查看每日值及趋势；BI计算较前一天、上周同日的涨跌</x:v>
      </x:c>
    </x:row>
    <x:row r="81" ht="94" customHeight="1">
      <x:c r="A81" s="13"/>
      <x:c r="B81" s="13"/>
      <x:c r="C81" s="24" t="str">
        <x:v>未支持</x:v>
      </x:c>
      <x:c r="D81" s="13" t="str">
        <x:v>1. 总体；新用户
2. Android / iOS / 客户端未知 / Web；老用户；微信 / 支付宝；VIP商品 / 金币商品；来源渠道；(Android / iOS / 客户端未知 / Web) × (新用户 / 老用户)</x:v>
      </x:c>
      <x:c r="E81" s="13" t="str">
        <x:v>1. 区间人均值
2. 单日、逐日趋势、区间人均值</x:v>
      </x:c>
      <x:c r="F81" s="13" t="str">
        <x:v>1）补区间去重人数及对应总量；可累加总量复用日值，人均由BI计算
2）补对应维度的完整每日数据（含日期与完整性）；补区间去重人数及对应总量；可累加总量复用日值，人均由BI计算</x:v>
      </x:c>
      <x:c r="G81" s="13" t="str">
        <x:v>客户端：Android；客户端：iOS；客户端：客户端未知；客户端：Web；用户类型：新用户；用户类型：老用户；支付方式：微信；支付方式：支付宝；商品类型：VIP商品；商品类型：金币商品；来源渠道</x:v>
      </x:c>
      <x:c r="H81" s="13" t="str">
        <x:v>同范围区间总量、区间去重人数（可累加总量可返回日值）
同日总量、同日去重人数（已有口径一致的人均值可复用）</x:v>
      </x:c>
      <x:c r="I81" s="13" t="str">
        <x:v>核心经营总览；获客与新增；会员与付费经营；支付链路与到账质量</x:v>
      </x:c>
      <x:c r="J81" s="13" t="str">
        <x:v>补齐并接入BI后：
1）BI用区间总量÷区间去重人数计算人均值
2）按对应范围查看每日值及趋势；BI用区间总量÷区间去重人数计算人均值</x:v>
      </x:c>
    </x:row>
    <x:row r="82" ht="78" customHeight="1">
      <x:c r="A82" s="14" t="str">
        <x:v>M068</x:v>
      </x:c>
      <x:c r="B82" s="14" t="str">
        <x:v>内容付费墙曝光用户数</x:v>
      </x:c>
      <x:c r="C82" s="28" t="str">
        <x:v>未支持</x:v>
      </x:c>
      <x:c r="D82" s="14" t="str">
        <x:v>总体；付费墙操作；内容类型；付费墙类型</x:v>
      </x:c>
      <x:c r="E82" s="14" t="str">
        <x:v>单日、逐日趋势、区间去重人数、日均</x:v>
      </x:c>
      <x:c r="F82" s="14" t="str">
        <x:v>补付费墙合格曝光用户的区间去重，按内容类型和付费墙类型拆分。；补区间用户去重查询；不能累加每日人数；补对应维度的完整每日数据（含日期与完整性）</x:v>
      </x:c>
      <x:c r="G82" s="14" t="str">
        <x:v>付费墙操作；内容类型；付费墙类型</x:v>
      </x:c>
      <x:c r="H82" s="14" t="str">
        <x:v>数值
区间去重人数（同一用户整个区间只计一次）
逐日数值、日期及完整性标记（真实0与缺失分开）</x:v>
      </x:c>
      <x:c r="I82" s="14" t="str">
        <x:v>会员与付费经营</x:v>
      </x:c>
      <x:c r="J82" s="14" t="str">
        <x:v>补齐并接入BI后：
按对应范围查看每日值及趋势；整段时间去重人数，同一用户只计一次；BI算日均，缺失日期不补0</x:v>
      </x:c>
    </x:row>
    <x:row r="83" ht="78" customHeight="1">
      <x:c r="A83" s="14" t="str">
        <x:v>M069</x:v>
      </x:c>
      <x:c r="B83" s="14" t="str">
        <x:v>付费墙曝光-操作转化率</x:v>
      </x:c>
      <x:c r="C83" s="28" t="str">
        <x:v>未支持</x:v>
      </x:c>
      <x:c r="D83" s="14" t="str">
        <x:v>总体；付费墙操作；内容类型；付费墙类型</x:v>
      </x:c>
      <x:c r="E83" s="14" t="str">
        <x:v>单日、逐日趋势、区间转化率／比率</x:v>
      </x:c>
      <x:c r="F83" s="14" t="str">
        <x:v>关联付费墙曝光与操作，补两类去重用户数，并按操作、内容和付费墙类型拆分。；补同范围区间分子、分母；可累加量复用日值，比率由BI计算；补对应维度的完整每日数据（含日期与完整性）</x:v>
      </x:c>
      <x:c r="G83" s="14" t="str">
        <x:v>付费墙操作；内容类型；付费墙类型</x:v>
      </x:c>
      <x:c r="H83" s="14" t="str">
        <x:v>数值、分子、分母
同范围、同口径的区间分子和分母（可累加量可返回日值）</x:v>
      </x:c>
      <x:c r="I83" s="14" t="str">
        <x:v>会员与付费经营</x:v>
      </x:c>
      <x:c r="J83" s="14" t="str">
        <x:v>补齐并接入BI后：
按对应范围查看每日值及趋势；BI用同范围分子÷分母计算区间比率</x:v>
      </x:c>
    </x:row>
    <x:row r="84" ht="62" customHeight="1">
      <x:c r="A84" s="14" t="str">
        <x:v>M070</x:v>
      </x:c>
      <x:c r="B84" s="14" t="str">
        <x:v>充值页访问-支付提交转化率</x:v>
      </x:c>
      <x:c r="C84" s="28" t="str">
        <x:v>未支持</x:v>
      </x:c>
      <x:c r="D84" s="14" t="str">
        <x:v>总体</x:v>
      </x:c>
      <x:c r="E84" s="14" t="str">
        <x:v>单日、逐日趋势、区间转化率／比率</x:v>
      </x:c>
      <x:c r="F84" s="14" t="str">
        <x:v>复用已存在的支付事件，补充值页访问用户与支付提交用户的关联和周期去重。；补同范围区间分子、分母；可累加量复用日值，比率由BI计算</x:v>
      </x:c>
      <x:c r="G84" s="14" t="str">
        <x:v>业务平台及日期</x:v>
      </x:c>
      <x:c r="H84" s="14" t="str">
        <x:v>数值、分子、分母
同范围、同口径的区间分子和分母（可累加量可返回日值）</x:v>
      </x:c>
      <x:c r="I84" s="14" t="str">
        <x:v>核心经营总览；支付链路与到账质量</x:v>
      </x:c>
      <x:c r="J84" s="14" t="str">
        <x:v>补齐并接入BI后：
按对应范围查看每日值及趋势；BI用同范围分子÷分母计算区间比率</x:v>
      </x:c>
    </x:row>
    <x:row r="85" ht="62" customHeight="1">
      <x:c r="A85" s="14" t="str">
        <x:v>M071</x:v>
      </x:c>
      <x:c r="B85" s="14" t="str">
        <x:v>下单成功率</x:v>
      </x:c>
      <x:c r="C85" s="28" t="str">
        <x:v>未支持</x:v>
      </x:c>
      <x:c r="D85" s="14" t="str">
        <x:v>总体</x:v>
      </x:c>
      <x:c r="E85" s="14" t="str">
        <x:v>单日、逐日趋势、区间转化率／比率</x:v>
      </x:c>
      <x:c r="F85" s="14" t="str">
        <x:v>复用已存在的下单事件，补请求与结果关联、成功请求数及有结果请求数。；补同范围区间分子、分母；可累加量复用日值，比率由BI计算</x:v>
      </x:c>
      <x:c r="G85" s="14" t="str">
        <x:v>业务平台及日期</x:v>
      </x:c>
      <x:c r="H85" s="14" t="str">
        <x:v>数值、分子、分母
同范围、同口径的区间分子和分母（可累加量可返回日值）</x:v>
      </x:c>
      <x:c r="I85" s="14" t="str">
        <x:v>核心经营总览；支付链路与到账质量</x:v>
      </x:c>
      <x:c r="J85" s="14" t="str">
        <x:v>补齐并接入BI后：
按对应范围查看每日值及趋势；BI用同范围分子÷分母计算区间比率</x:v>
      </x:c>
    </x:row>
    <x:row r="86" ht="62" customHeight="1">
      <x:c r="A86" s="14" t="str">
        <x:v>M072</x:v>
      </x:c>
      <x:c r="B86" s="14" t="str">
        <x:v>支付回调-充值到账转化率</x:v>
      </x:c>
      <x:c r="C86" s="28" t="str">
        <x:v>未支持</x:v>
      </x:c>
      <x:c r="D86" s="14" t="str">
        <x:v>总体</x:v>
      </x:c>
      <x:c r="E86" s="14" t="str">
        <x:v>单日、逐日趋势、区间转化率／比率</x:v>
      </x:c>
      <x:c r="F86" s="14" t="str">
        <x:v>关联支付回调与到账订单，补回调成功订单数、已到账订单数及周期结果。；补同范围区间分子、分母；可累加量复用日值，比率由BI计算</x:v>
      </x:c>
      <x:c r="G86" s="14" t="str">
        <x:v>业务平台及日期</x:v>
      </x:c>
      <x:c r="H86" s="14" t="str">
        <x:v>数值、分子、分母
同范围、同口径的区间分子和分母（可累加量可返回日值）</x:v>
      </x:c>
      <x:c r="I86" s="14" t="str">
        <x:v>核心经营总览；支付链路与到账质量</x:v>
      </x:c>
      <x:c r="J86" s="14" t="str">
        <x:v>补齐并接入BI后：
按对应范围查看每日值及趋势；BI用同范围分子÷分母计算区间比率</x:v>
      </x:c>
    </x:row>
    <x:row r="87" ht="78" customHeight="1">
      <x:c r="A87" s="14" t="str">
        <x:v>M073</x:v>
      </x:c>
      <x:c r="B87" s="14" t="str">
        <x:v>会员引导曝光-点击转化率</x:v>
      </x:c>
      <x:c r="C87" s="28" t="str">
        <x:v>未支持</x:v>
      </x:c>
      <x:c r="D87" s="14" t="str">
        <x:v>总体；引导位置；会员类型</x:v>
      </x:c>
      <x:c r="E87" s="14" t="str">
        <x:v>单日、逐日趋势、区间转化率／比率</x:v>
      </x:c>
      <x:c r="F87" s="14" t="str">
        <x:v>补会员引导合格曝光与匹配点击，按引导位置和会员类型返回分子分母。；补同范围区间分子、分母；可累加量复用日值，比率由BI计算；补对应维度的完整每日数据（含日期与完整性）</x:v>
      </x:c>
      <x:c r="G87" s="14" t="str">
        <x:v>引导位置；会员类型</x:v>
      </x:c>
      <x:c r="H87" s="14" t="str">
        <x:v>数值、分子、分母
同范围、同口径的区间分子和分母（可累加量可返回日值）</x:v>
      </x:c>
      <x:c r="I87" s="14" t="str">
        <x:v>会员与付费经营</x:v>
      </x:c>
      <x:c r="J87" s="14" t="str">
        <x:v>补齐并接入BI后：
按对应范围查看每日值及趋势；BI用同范围分子÷分母计算区间比率</x:v>
      </x:c>
    </x:row>
    <x:row r="88" ht="78" customHeight="1">
      <x:c r="A88" s="14" t="str">
        <x:v>M074</x:v>
      </x:c>
      <x:c r="B88" s="14" t="str">
        <x:v>签到入口曝光-点击转化率</x:v>
      </x:c>
      <x:c r="C88" s="28" t="str">
        <x:v>未支持</x:v>
      </x:c>
      <x:c r="D88" s="14" t="str">
        <x:v>总体；签到入口</x:v>
      </x:c>
      <x:c r="E88" s="14" t="str">
        <x:v>单日、逐日趋势、区间转化率／比率</x:v>
      </x:c>
      <x:c r="F88" s="14" t="str">
        <x:v>补签到入口合格曝光与匹配点击，按入口返回分子分母和周期转化率。；补同范围区间分子、分母；可累加量复用日值，比率由BI计算；补对应维度的完整每日数据（含日期与完整性）</x:v>
      </x:c>
      <x:c r="G88" s="14" t="str">
        <x:v>签到入口</x:v>
      </x:c>
      <x:c r="H88" s="14" t="str">
        <x:v>数值、分子、分母
同范围、同口径的区间分子和分母（可累加量可返回日值）</x:v>
      </x:c>
      <x:c r="I88" s="14" t="str">
        <x:v>运营玩法概览</x:v>
      </x:c>
      <x:c r="J88" s="14" t="str">
        <x:v>补齐并接入BI后：
按对应范围查看每日值及趋势；BI用同范围分子÷分母计算区间比率</x:v>
      </x:c>
    </x:row>
    <x:row r="89" ht="62" customHeight="1">
      <x:c r="A89" s="14" t="str">
        <x:v>M075</x:v>
      </x:c>
      <x:c r="B89" s="14" t="str">
        <x:v>签到成功用户数</x:v>
      </x:c>
      <x:c r="C89" s="22" t="str">
        <x:v>支持</x:v>
      </x:c>
      <x:c r="D89" s="14" t="str">
        <x:v>总体</x:v>
      </x:c>
      <x:c r="E89" s="14" t="str">
        <x:v>单日、逐日趋势、日均、日对比</x:v>
      </x:c>
      <x:c r="F89" s="14" t="str">
        <x:v>现有数据与BI计算已支持，无需新增接口；待业务验数。</x:v>
      </x:c>
      <x:c r="G89" s="14" t="str">
        <x:v>业务平台及日期</x:v>
      </x:c>
      <x:c r="H89" s="14" t="str">
        <x:v>数值
逐日数值、日期及完整性标记（真实0与缺失分开）
当前日、前一天、上周同日的日期及数值</x:v>
      </x:c>
      <x:c r="I89" s="14" t="str">
        <x:v>运营玩法概览</x:v>
      </x:c>
      <x:c r="J89" s="14" t="str">
        <x:v>已支持：
按对应范围查看每日值及趋势；BI算日均，缺失日期不补0；BI计算较前一天、上周同日的涨跌</x:v>
      </x:c>
    </x:row>
    <x:row r="90" ht="78" customHeight="1">
      <x:c r="A90" s="13"/>
      <x:c r="B90" s="13"/>
      <x:c r="C90" s="24" t="str">
        <x:v>未支持</x:v>
      </x:c>
      <x:c r="D90" s="13" t="str">
        <x:v>1. 总体
2. 签到周期</x:v>
      </x:c>
      <x:c r="E90" s="13" t="str">
        <x:v>1. 区间去重人数
2. 单日、逐日趋势、区间去重人数、日均</x:v>
      </x:c>
      <x:c r="F90" s="13" t="str">
        <x:v>1）补区间用户去重查询；不能累加每日人数
2）补对应维度的完整每日数据（含日期与完整性）；补区间用户去重查询；不能累加每日人数</x:v>
      </x:c>
      <x:c r="G90" s="13" t="str">
        <x:v>签到周期</x:v>
      </x:c>
      <x:c r="H90" s="13" t="str">
        <x:v>区间去重人数（同一用户整个区间只计一次）
数值
逐日数值、日期及完整性标记（真实0与缺失分开）</x:v>
      </x:c>
      <x:c r="I90" s="13" t="str">
        <x:v>运营玩法概览</x:v>
      </x:c>
      <x:c r="J90" s="13" t="str">
        <x:v>补齐并接入BI后：
1）整段时间去重人数，同一用户只计一次
2）按对应范围查看每日值及趋势；整段时间去重人数，同一用户只计一次；BI算日均，缺失日期不补0</x:v>
      </x:c>
    </x:row>
    <x:row r="91" ht="78" customHeight="1">
      <x:c r="A91" s="14" t="str">
        <x:v>M076</x:v>
      </x:c>
      <x:c r="B91" s="14" t="str">
        <x:v>任务奖励成功率</x:v>
      </x:c>
      <x:c r="C91" s="28" t="str">
        <x:v>未支持</x:v>
      </x:c>
      <x:c r="D91" s="14" t="str">
        <x:v>总体；任务周期；任务类型</x:v>
      </x:c>
      <x:c r="E91" s="14" t="str">
        <x:v>单日、逐日趋势、区间转化率／比率</x:v>
      </x:c>
      <x:c r="F91" s="14" t="str">
        <x:v>补任务奖励成功终态与有结果任务数，按任务类型、周期返回比率和历史趋势。；补同范围区间分子、分母；可累加量复用日值，比率由BI计算；补对应维度的完整每日数据（含日期与完整性）</x:v>
      </x:c>
      <x:c r="G91" s="14" t="str">
        <x:v>任务周期；任务类型</x:v>
      </x:c>
      <x:c r="H91" s="14" t="str">
        <x:v>数值、分子、分母
同范围、同口径的区间分子和分母（可累加量可返回日值）</x:v>
      </x:c>
      <x:c r="I91" s="14" t="str">
        <x:v>运营玩法概览</x:v>
      </x:c>
      <x:c r="J91" s="14" t="str">
        <x:v>补齐并接入BI后：
按对应范围查看每日值及趋势；BI用同范围分子÷分母计算区间比率</x:v>
      </x:c>
    </x:row>
    <x:row r="92" ht="78" customHeight="1">
      <x:c r="A92" s="14" t="str">
        <x:v>M077</x:v>
      </x:c>
      <x:c r="B92" s="14" t="str">
        <x:v>福利领取提交-成功转化率</x:v>
      </x:c>
      <x:c r="C92" s="28" t="str">
        <x:v>未支持</x:v>
      </x:c>
      <x:c r="D92" s="14" t="str">
        <x:v>总体；福利类型</x:v>
      </x:c>
      <x:c r="E92" s="14" t="str">
        <x:v>单日、逐日趋势、区间转化率／比率</x:v>
      </x:c>
      <x:c r="F92" s="14" t="str">
        <x:v>关联福利提交与成功结果，补两阶段次数、福利类型和历史日趋势。；补同范围区间分子、分母；可累加量复用日值，比率由BI计算；补对应维度的完整每日数据（含日期与完整性）</x:v>
      </x:c>
      <x:c r="G92" s="14" t="str">
        <x:v>福利类型</x:v>
      </x:c>
      <x:c r="H92" s="14" t="str">
        <x:v>数值、分子、分母
同范围、同口径的区间分子和分母（可累加量可返回日值）</x:v>
      </x:c>
      <x:c r="I92" s="14" t="str">
        <x:v>运营玩法概览</x:v>
      </x:c>
      <x:c r="J92" s="14" t="str">
        <x:v>补齐并接入BI后：
按对应范围查看每日值及趋势；BI用同范围分子÷分母计算区间比率</x:v>
      </x:c>
    </x:row>
    <x:row r="93" ht="78" customHeight="1">
      <x:c r="A93" s="14" t="str">
        <x:v>M078</x:v>
      </x:c>
      <x:c r="B93" s="14" t="str">
        <x:v>邀请绑定提交-成功转化率</x:v>
      </x:c>
      <x:c r="C93" s="28" t="str">
        <x:v>未支持</x:v>
      </x:c>
      <x:c r="D93" s="14" t="str">
        <x:v>总体；邀请绑定来源</x:v>
      </x:c>
      <x:c r="E93" s="14" t="str">
        <x:v>单日、逐日趋势、区间转化率／比率</x:v>
      </x:c>
      <x:c r="F93" s="14" t="str">
        <x:v>关联邀请绑定提交与成功结果，补两阶段次数、绑定来源及周期转化率。；补同范围区间分子、分母；可累加量复用日值，比率由BI计算；补对应维度的完整每日数据（含日期与完整性）</x:v>
      </x:c>
      <x:c r="G93" s="14" t="str">
        <x:v>邀请绑定来源</x:v>
      </x:c>
      <x:c r="H93" s="14" t="str">
        <x:v>数值、分子、分母
同范围、同口径的区间分子和分母（可累加量可返回日值）</x:v>
      </x:c>
      <x:c r="I93" s="14" t="str">
        <x:v>运营玩法概览</x:v>
      </x:c>
      <x:c r="J93" s="14" t="str">
        <x:v>补齐并接入BI后：
按对应范围查看每日值及趋势；BI用同范围分子÷分母计算区间比率</x:v>
      </x:c>
    </x:row>
    <x:row r="94" ht="78" customHeight="1">
      <x:c r="A94" s="14" t="str">
        <x:v>M079</x:v>
      </x:c>
      <x:c r="B94" s="14" t="str">
        <x:v>邀请奖励成功发放用户数</x:v>
      </x:c>
      <x:c r="C94" s="28" t="str">
        <x:v>未支持</x:v>
      </x:c>
      <x:c r="D94" s="14" t="str">
        <x:v>总体；签到里程碑；奖励接收人</x:v>
      </x:c>
      <x:c r="E94" s="14" t="str">
        <x:v>单日、逐日趋势、区间去重人数、日均</x:v>
      </x:c>
      <x:c r="F94" s="14" t="str">
        <x:v>补邀请奖励成功接收用户的区间去重，按奖励里程碑及接收方拆分。；补区间用户去重查询；不能累加每日人数；补对应维度的完整每日数据（含日期与完整性）</x:v>
      </x:c>
      <x:c r="G94" s="14" t="str">
        <x:v>签到里程碑；奖励接收人</x:v>
      </x:c>
      <x:c r="H94" s="14" t="str">
        <x:v>数值
区间去重人数（同一用户整个区间只计一次）
逐日数值、日期及完整性标记（真实0与缺失分开）</x:v>
      </x:c>
      <x:c r="I94" s="14" t="str">
        <x:v>运营玩法概览</x:v>
      </x:c>
      <x:c r="J94" s="14" t="str">
        <x:v>补齐并接入BI后：
按对应范围查看每日值及趋势；整段时间去重人数，同一用户只计一次；BI算日均，缺失日期不补0</x:v>
      </x:c>
    </x:row>
    <x:row r="95" ht="78" customHeight="1">
      <x:c r="A95" s="14" t="str">
        <x:v>M080</x:v>
      </x:c>
      <x:c r="B95" s="14" t="str">
        <x:v>启动成功率</x:v>
      </x:c>
      <x:c r="C95" s="28" t="str">
        <x:v>未支持</x:v>
      </x:c>
      <x:c r="D95" s="14" t="str">
        <x:v>总体；Android / iOS / 客户端未知 / Web；启动类型；版本 / 版本未知；版本 × (Android / iOS)</x:v>
      </x:c>
      <x:c r="E95" s="14" t="str">
        <x:v>单日、逐日趋势、区间转化率／比率</x:v>
      </x:c>
      <x:c r="F95" s="14" t="str">
        <x:v>补启动成功终态、可判定启动数及观察中样本，按客户端、版本和启动类型重算。；补同范围区间分子、分母；可累加量复用日值，比率由BI计算；补对应维度的完整每日数据（含日期与完整性）</x:v>
      </x:c>
      <x:c r="G95" s="14" t="str">
        <x:v>客户端：Android；客户端：iOS；客户端：客户端未知；客户端：Web；启动类型；版本；版本未知</x:v>
      </x:c>
      <x:c r="H95" s="14" t="str">
        <x:v>数值、分子、分母
同范围、同口径的区间分子和分母（可累加量可返回日值）</x:v>
      </x:c>
      <x:c r="I95" s="14" t="str">
        <x:v>核心经营总览；产品体验与启动质量</x:v>
      </x:c>
      <x:c r="J95" s="14" t="str">
        <x:v>补齐并接入BI后：
按对应范围查看每日值及趋势；BI用同范围分子÷分母计算区间比率</x:v>
      </x:c>
    </x:row>
    <x:row r="96" ht="62" customHeight="1">
      <x:c r="A96" s="14" t="str">
        <x:v>M081</x:v>
      </x:c>
      <x:c r="B96" s="14" t="str">
        <x:v>活跃用户观影率</x:v>
      </x:c>
      <x:c r="C96" s="22" t="str">
        <x:v>支持</x:v>
      </x:c>
      <x:c r="D96" s="14" t="str">
        <x:v>总体；Android / iOS / Web；老用户</x:v>
      </x:c>
      <x:c r="E96" s="14" t="str">
        <x:v>单日、逐日趋势、日对比</x:v>
      </x:c>
      <x:c r="F96" s="14" t="str">
        <x:v>现有数据与BI计算已支持，无需新增接口；待业务验数。</x:v>
      </x:c>
      <x:c r="G96" s="14" t="str">
        <x:v>客户端：Android；客户端：iOS；客户端：Web；用户类型：老用户</x:v>
      </x:c>
      <x:c r="H96" s="14" t="str">
        <x:v>数值、分子、分母
当前日、前一天、上周同日的日期及数值</x:v>
      </x:c>
      <x:c r="I96" s="14" t="str">
        <x:v>核心经营总览；视频消费表现</x:v>
      </x:c>
      <x:c r="J96" s="14" t="str">
        <x:v>已支持：
按对应范围查看每日值及趋势；BI计算较前一天、上周同日的涨跌</x:v>
      </x:c>
    </x:row>
    <x:row r="97" ht="110" customHeight="1">
      <x:c r="A97" s="13"/>
      <x:c r="B97" s="13"/>
      <x:c r="C97" s="24" t="str">
        <x:v>未支持</x:v>
      </x:c>
      <x:c r="D97" s="13" t="str">
        <x:v>1. 总体；Android / iOS / Web；老用户
2. 客户端未知；内部导量 / 自然新增；来源渠道；版本 / 版本未知；版本 × (Android / iOS)
3. 新用户</x:v>
      </x:c>
      <x:c r="E97" s="13" t="str">
        <x:v>1. 区间转化率／比率
2. 单日、逐日趋势、区间转化率／比率
3. 单日、逐日趋势、区间转化率／比率、日对比</x:v>
      </x:c>
      <x:c r="F97" s="13" t="str">
        <x:v>1）复用同范围每日观影、活跃人数，BI累计人天后相除
2）补对应维度的完整每日数据（含日期与完整性）；补同范围每日观影、活跃人数，BI累计人天后相除
3）补对应维度的完整每日数据（含日期与完整性）；补同范围每日观影、活跃人数，BI累计人天后相除</x:v>
      </x:c>
      <x:c r="G97" s="13" t="str">
        <x:v>客户端：Android；客户端：iOS；客户端：客户端未知；客户端：Web；用户类型：新用户；用户类型：老用户；内部导量；自然新增；来源渠道；版本；版本未知</x:v>
      </x:c>
      <x:c r="H97" s="13" t="str">
        <x:v>同范围每日观影人数、活跃人数及日期完整性（BI累计人天）
数值、分子、分母
当前日、前一天、上周同日的日期及数值</x:v>
      </x:c>
      <x:c r="I97" s="13" t="str">
        <x:v>核心经营总览；视频消费表现；产品体验与启动质量</x:v>
      </x:c>
      <x:c r="J97" s="13" t="str">
        <x:v>补齐并接入BI后：
1）BI用观影人天÷活跃人天计算区间观影率
2）按对应范围查看每日值及趋势；BI用观影人天÷活跃人天计算区间观影率
3）按对应范围查看每日值及趋势；BI用观影人天÷活跃人天计算区间观影率；BI计算较前一天、上周同日的涨跌</x:v>
      </x:c>
    </x:row>
    <x:row r="98" ht="78" customHeight="1">
      <x:c r="A98" s="14" t="str">
        <x:v>M083</x:v>
      </x:c>
      <x:c r="B98" s="14" t="str">
        <x:v>播放发起率</x:v>
      </x:c>
      <x:c r="C98" s="28" t="str">
        <x:v>未支持</x:v>
      </x:c>
      <x:c r="D98" s="14" t="str">
        <x:v>总体；Android / iOS / 客户端未知 / Web；播放模式；播放触发方式；视频类型；版本 / 版本未知；版本 × (Android / iOS)</x:v>
      </x:c>
      <x:c r="E98" s="14" t="str">
        <x:v>单日、逐日趋势、区间转化率／比率</x:v>
      </x:c>
      <x:c r="F98" s="14" t="str">
        <x:v>关联内容点击与其直接触发的播放尝试，补两阶段次数及版本、播放方式等拆分。；补同范围区间分子、分母；可累加量复用日值，比率由BI计算；补对应维度的完整每日数据（含日期与完整性）</x:v>
      </x:c>
      <x:c r="G98" s="14" t="str">
        <x:v>客户端：Android；客户端：iOS；客户端：客户端未知；客户端：Web；播放模式；播放触发方式；视频类型；版本；版本未知</x:v>
      </x:c>
      <x:c r="H98" s="14" t="str">
        <x:v>数值、分子、分母
同范围、同口径的区间分子和分母（可累加量可返回日值）</x:v>
      </x:c>
      <x:c r="I98" s="14" t="str">
        <x:v>播放与观看质量；产品体验与启动质量</x:v>
      </x:c>
      <x:c r="J98" s="14" t="str">
        <x:v>补齐并接入BI后：
按对应范围查看每日值及趋势；BI用同范围分子÷分母计算区间比率</x:v>
      </x:c>
    </x:row>
    <x:row r="99" ht="62" customHeight="1">
      <x:c r="A99" s="14" t="str">
        <x:v>M084</x:v>
      </x:c>
      <x:c r="B99" s="14" t="str">
        <x:v>支付提交次数</x:v>
      </x:c>
      <x:c r="C99" s="28" t="str">
        <x:v>未支持</x:v>
      </x:c>
      <x:c r="D99" s="14" t="str">
        <x:v>总体；微信 / 支付宝</x:v>
      </x:c>
      <x:c r="E99" s="14" t="str">
        <x:v>单日、逐日趋势、区间合计、日均</x:v>
      </x:c>
      <x:c r="F99" s="14" t="str">
        <x:v>复用现有支付提交事件，按请求去重计次，补支付宝、微信的日趋势和合计。；补对应维度的完整每日数据（含日期与完整性）</x:v>
      </x:c>
      <x:c r="G99" s="14" t="str">
        <x:v>支付方式：微信；支付方式：支付宝</x:v>
      </x:c>
      <x:c r="H99" s="14" t="str">
        <x:v>数值
逐日数值、日期及完整性标记（真实0与缺失分开）</x:v>
      </x:c>
      <x:c r="I99" s="14" t="str">
        <x:v>核心经营总览；支付链路与到账质量</x:v>
      </x:c>
      <x:c r="J99" s="14" t="str">
        <x:v>补齐并接入BI后：
按对应范围查看每日值及趋势；BI累加每日值，得到所选区间合计；BI算日均，缺失日期不补0</x:v>
      </x:c>
    </x:row>
    <x:row r="100" ht="78" customHeight="1">
      <x:c r="A100" s="14" t="str">
        <x:v>M085</x:v>
      </x:c>
      <x:c r="B100" s="14" t="str">
        <x:v>支付提交用户数</x:v>
      </x:c>
      <x:c r="C100" s="28" t="str">
        <x:v>未支持</x:v>
      </x:c>
      <x:c r="D100" s="14" t="str">
        <x:v>总体；微信 / 支付宝</x:v>
      </x:c>
      <x:c r="E100" s="14" t="str">
        <x:v>单日、逐日趋势、区间去重人数、日均</x:v>
      </x:c>
      <x:c r="F100" s="14" t="str">
        <x:v>复用现有支付提交事件，补周期提交用户去重及支付宝、微信拆分。；补区间用户去重查询；不能累加每日人数；补对应维度的完整每日数据（含日期与完整性）</x:v>
      </x:c>
      <x:c r="G100" s="14" t="str">
        <x:v>支付方式：微信；支付方式：支付宝</x:v>
      </x:c>
      <x:c r="H100" s="14" t="str">
        <x:v>数值
区间去重人数（同一用户整个区间只计一次）
逐日数值、日期及完整性标记（真实0与缺失分开）</x:v>
      </x:c>
      <x:c r="I100" s="14" t="str">
        <x:v>核心经营总览；支付链路与到账质量</x:v>
      </x:c>
      <x:c r="J100" s="14" t="str">
        <x:v>补齐并接入BI后：
按对应范围查看每日值及趋势；整段时间去重人数，同一用户只计一次；BI算日均，缺失日期不补0</x:v>
      </x:c>
    </x:row>
    <x:row r="101" ht="62" customHeight="1">
      <x:c r="A101" s="14" t="str">
        <x:v>M086</x:v>
      </x:c>
      <x:c r="B101" s="14" t="str">
        <x:v>充值到账订单数</x:v>
      </x:c>
      <x:c r="C101" s="28" t="str">
        <x:v>未支持</x:v>
      </x:c>
      <x:c r="D101" s="14" t="str">
        <x:v>总体；到账类型；微信 / 支付宝；VIP商品 / 金币商品；充值场景；到账类型 × 商品类型</x:v>
      </x:c>
      <x:c r="E101" s="14" t="str">
        <x:v>单日、逐日趋势、区间合计、日均</x:v>
      </x:c>
      <x:c r="F101" s="14" t="str">
        <x:v>区分支付成功与实际到账，补到账订单去重及到账类型、商品、场景拆分。；补对应维度的完整每日数据（含日期与完整性）</x:v>
      </x:c>
      <x:c r="G101" s="14" t="str">
        <x:v>到账类型；支付方式：微信；支付方式：支付宝；商品类型：VIP商品；商品类型：金币商品；充值场景；商品类型</x:v>
      </x:c>
      <x:c r="H101" s="14" t="str">
        <x:v>数值
逐日数值、日期及完整性标记（真实0与缺失分开）</x:v>
      </x:c>
      <x:c r="I101" s="14" t="str">
        <x:v>核心经营总览；支付链路与到账质量</x:v>
      </x:c>
      <x:c r="J101" s="14" t="str">
        <x:v>补齐并接入BI后：
按对应范围查看每日值及趋势；BI累加每日值，得到所选区间合计；BI算日均，缺失日期不补0</x:v>
      </x:c>
    </x:row>
    <x:row r="102" ht="94" customHeight="1">
      <x:c r="A102" s="14" t="str">
        <x:v>M087</x:v>
      </x:c>
      <x:c r="B102" s="14" t="str">
        <x:v>活跃用户人均充值金额（ARPU）</x:v>
      </x:c>
      <x:c r="C102" s="22" t="str">
        <x:v>支持</x:v>
      </x:c>
      <x:c r="D102" s="14" t="str">
        <x:v>总体</x:v>
      </x:c>
      <x:c r="E102" s="14" t="str">
        <x:v>单日、逐日趋势、日对比</x:v>
      </x:c>
      <x:c r="F102" s="14" t="str">
        <x:v>现有数据与BI计算已支持，无需新增接口；待业务验数。</x:v>
      </x:c>
      <x:c r="G102" s="14" t="str">
        <x:v>业务平台及日期</x:v>
      </x:c>
      <x:c r="H102" s="14" t="str">
        <x:v>同日总量、同日去重人数（已有口径一致的人均值可复用）
当前日、前一天、上周同日的日期及数值
配套输入：支付方式同范围活跃用户基数（公式及范围见定义表）</x:v>
      </x:c>
      <x:c r="I102" s="14" t="str">
        <x:v>核心经营总览；会员与付费经营；支付链路与到账质量</x:v>
      </x:c>
      <x:c r="J102" s="14" t="str">
        <x:v>已支持：
按对应范围查看每日值及趋势；BI计算较前一天、上周同日的涨跌</x:v>
      </x:c>
    </x:row>
    <x:row r="103" ht="110" customHeight="1">
      <x:c r="A103" s="13"/>
      <x:c r="B103" s="13"/>
      <x:c r="C103" s="24" t="str">
        <x:v>未支持</x:v>
      </x:c>
      <x:c r="D103" s="13" t="str">
        <x:v>1. 总体
2. 微信 / 支付宝</x:v>
      </x:c>
      <x:c r="E103" s="13" t="str">
        <x:v>1. 区间人均值
2. 单日、逐日趋势、区间人均值</x:v>
      </x:c>
      <x:c r="F103" s="13" t="str">
        <x:v>1）补区间去重人数及对应总量；可累加总量复用日值，人均由BI计算
2）补对应维度的完整每日数据（含日期与完整性）；补区间去重人数及对应总量；可累加总量复用日值，人均由BI计算</x:v>
      </x:c>
      <x:c r="G103" s="13" t="str">
        <x:v>支付方式：微信；支付方式：支付宝</x:v>
      </x:c>
      <x:c r="H103" s="13" t="str">
        <x:v>同范围区间总量、区间去重人数（可累加总量可返回日值）
同日总量、同日去重人数（已有口径一致的人均值可复用）
配套输入：支付方式同范围活跃用户基数（公式及范围见定义表）</x:v>
      </x:c>
      <x:c r="I103" s="13" t="str">
        <x:v>核心经营总览；会员与付费经营；支付链路与到账质量</x:v>
      </x:c>
      <x:c r="J103" s="13" t="str">
        <x:v>补齐并接入BI后：
1）BI用区间总量÷区间去重人数计算人均值
2）按对应范围查看每日值及趋势；BI用区间总量÷区间去重人数计算人均值</x:v>
      </x:c>
    </x:row>
    <x:row r="104" ht="62" customHeight="1">
      <x:c r="A104" s="14" t="str">
        <x:v>M088</x:v>
      </x:c>
      <x:c r="B104" s="14" t="str">
        <x:v>新增用户人均充值金额（ARPU）</x:v>
      </x:c>
      <x:c r="C104" s="22" t="str">
        <x:v>支持</x:v>
      </x:c>
      <x:c r="D104" s="14" t="str">
        <x:v>总体</x:v>
      </x:c>
      <x:c r="E104" s="14" t="str">
        <x:v>单日、逐日趋势、日对比</x:v>
      </x:c>
      <x:c r="F104" s="14" t="str">
        <x:v>现有数据与BI计算已支持，无需新增接口；待业务验数。</x:v>
      </x:c>
      <x:c r="G104" s="14" t="str">
        <x:v>业务平台及日期</x:v>
      </x:c>
      <x:c r="H104" s="14" t="str">
        <x:v>同日总量、同日去重人数（已有口径一致的人均值可复用）
当前日、前一天、上周同日的日期及数值</x:v>
      </x:c>
      <x:c r="I104" s="14" t="str">
        <x:v>核心经营总览；获客与新增；会员与付费经营</x:v>
      </x:c>
      <x:c r="J104" s="14" t="str">
        <x:v>已支持：
按对应范围查看每日值及趋势；BI计算较前一天、上周同日的涨跌</x:v>
      </x:c>
    </x:row>
    <x:row r="105" ht="110" customHeight="1">
      <x:c r="A105" s="13"/>
      <x:c r="B105" s="13"/>
      <x:c r="C105" s="24" t="str">
        <x:v>未支持</x:v>
      </x:c>
      <x:c r="D105" s="13" t="str">
        <x:v>1. 总体
2. 来源渠道</x:v>
      </x:c>
      <x:c r="E105" s="13" t="str">
        <x:v>1. 区间人均值
2. 单日、逐日趋势、区间人均值</x:v>
      </x:c>
      <x:c r="F105" s="13" t="str">
        <x:v>1）核对现有注册人数为扣前口径且注册日唯一后，BI复用每日金额和人数累计相除
2）补对应维度的完整每日数据（含日期与完整性）；补对应维度的新增用户每日充值金额及扣前注册人数，确认注册日唯一</x:v>
      </x:c>
      <x:c r="G105" s="13" t="str">
        <x:v>来源渠道</x:v>
      </x:c>
      <x:c r="H105" s="13" t="str">
        <x:v>逐日新增用户充值金额、扣前新增注册人数（按唯一注册日统计）
同日总量、同日去重人数（已有口径一致的人均值可复用）</x:v>
      </x:c>
      <x:c r="I105" s="13" t="str">
        <x:v>核心经营总览；获客与新增；会员与付费经营</x:v>
      </x:c>
      <x:c r="J105" s="13" t="str">
        <x:v>补齐并接入BI后：
1）注册人数核对为扣前口径且注册日唯一后，BI用新增用户充值金额合计÷注册人数合计计算ARPU
2）按对应范围查看每日值及趋势；注册人数核对为扣前口径且注册日唯一后，BI用新增用户充值金额合计÷注册人数合计计算ARPU</x:v>
      </x:c>
    </x:row>
    <x:row r="106" ht="126" customHeight="1">
      <x:c r="A106" s="14" t="str">
        <x:v>M090</x:v>
      </x:c>
      <x:c r="B106" s="14" t="str">
        <x:v>支付提交-充值到账转化率</x:v>
      </x:c>
      <x:c r="C106" s="28" t="str">
        <x:v>未支持</x:v>
      </x:c>
      <x:c r="D106" s="14" t="str">
        <x:v>1. 总体
2. 到账类型；微信 / 支付宝；VIP商品 / 金币商品；充值场景；到账类型 × 商品类型</x:v>
      </x:c>
      <x:c r="E106" s="14" t="str">
        <x:v>1. 单日、逐日趋势、区间转化率／比率、日对比
2. 单日、逐日趋势、区间转化率／比率</x:v>
      </x:c>
      <x:c r="F106" s="14" t="str">
        <x:v>1）关联同批支付提交与最终到账，补观察完成状态及支付方式、商品、到账类型拆分。；补同范围区间分子、分母；可累加量复用日值，比率由BI计算；补对应维度的完整每日数据（含日期与完整性）
2）补对应维度的完整每日数据（含日期与完整性）；补同范围区间分子、分母；可累加量复用日值，比率由BI计算</x:v>
      </x:c>
      <x:c r="G106" s="14" t="str">
        <x:v>到账类型；支付方式：微信；支付方式：支付宝；商品类型：VIP商品；商品类型：金币商品；充值场景；商品类型</x:v>
      </x:c>
      <x:c r="H106" s="14" t="str">
        <x:v>数值、分子、分母
同范围、同口径的区间分子和分母（可累加量可返回日值）
当前日、前一天、上周同日的日期及数值</x:v>
      </x:c>
      <x:c r="I106" s="14" t="str">
        <x:v>核心经营总览；支付链路与到账质量</x:v>
      </x:c>
      <x:c r="J106" s="14" t="str">
        <x:v>补齐并接入BI后：
1）按对应范围查看每日值及趋势；BI用同范围分子÷分母计算区间比率；BI计算较前一天、上周同日的涨跌
2）按对应范围查看每日值及趋势；BI用同范围分子÷分母计算区间比率</x:v>
      </x:c>
    </x:row>
    <x:row r="107" ht="62" customHeight="1">
      <x:c r="A107" s="14" t="str">
        <x:v>M091</x:v>
      </x:c>
      <x:c r="B107" s="14" t="str">
        <x:v>应用启动次数</x:v>
      </x:c>
      <x:c r="C107" s="28" t="str">
        <x:v>未支持</x:v>
      </x:c>
      <x:c r="D107" s="14" t="str">
        <x:v>总体；Android / iOS / 客户端未知 / Web；启动类型；版本 / 版本未知；版本 × (Android / iOS)</x:v>
      </x:c>
      <x:c r="E107" s="14" t="str">
        <x:v>单日、逐日趋势、区间合计、日均</x:v>
      </x:c>
      <x:c r="F107" s="14" t="str">
        <x:v>核对已有启动计数，补启动唯一键、客户端、版本、启动类型及周期合计。；补对应维度的完整每日数据（含日期与完整性）</x:v>
      </x:c>
      <x:c r="G107" s="14" t="str">
        <x:v>客户端：Android；客户端：iOS；客户端：客户端未知；客户端：Web；启动类型；版本；版本未知</x:v>
      </x:c>
      <x:c r="H107" s="14" t="str">
        <x:v>数值
逐日数值、日期及完整性标记（真实0与缺失分开）</x:v>
      </x:c>
      <x:c r="I107" s="14" t="str">
        <x:v>产品体验与启动质量</x:v>
      </x:c>
      <x:c r="J107" s="14" t="str">
        <x:v>补齐并接入BI后：
按对应范围查看每日值及趋势；BI累加每日值，得到所选区间合计；BI算日均，缺失日期不补0</x:v>
      </x:c>
    </x:row>
    <x:row r="108" ht="62" customHeight="1">
      <x:c r="A108" s="14" t="str">
        <x:v>M092</x:v>
      </x:c>
      <x:c r="B108" s="14" t="str">
        <x:v>搜索次数</x:v>
      </x:c>
      <x:c r="C108" s="28" t="str">
        <x:v>未支持</x:v>
      </x:c>
      <x:c r="D108" s="14" t="str">
        <x:v>总体；搜索词；搜索类型</x:v>
      </x:c>
      <x:c r="E108" s="14" t="str">
        <x:v>单日、逐日趋势、区间合计、日均</x:v>
      </x:c>
      <x:c r="F108" s="14" t="str">
        <x:v>补真实搜索行为的日期、次数和搜索词、类型拆分；热词热度不能代替次数。；补对应维度的完整每日数据（含日期与完整性）</x:v>
      </x:c>
      <x:c r="G108" s="14" t="str">
        <x:v>搜索词；搜索类型</x:v>
      </x:c>
      <x:c r="H108" s="14" t="str">
        <x:v>数值
逐日数值、日期及完整性标记（真实0与缺失分开）</x:v>
      </x:c>
      <x:c r="I108" s="14" t="str">
        <x:v>内容发现与互动</x:v>
      </x:c>
      <x:c r="J108" s="14" t="str">
        <x:v>补齐并接入BI后：
按对应范围查看每日值及趋势；BI累加每日值，得到所选区间合计；BI算日均，缺失日期不补0</x:v>
      </x:c>
    </x:row>
    <x:row r="109" ht="78" customHeight="1">
      <x:c r="A109" s="14" t="str">
        <x:v>M093</x:v>
      </x:c>
      <x:c r="B109" s="14" t="str">
        <x:v>搜索用户数</x:v>
      </x:c>
      <x:c r="C109" s="28" t="str">
        <x:v>未支持</x:v>
      </x:c>
      <x:c r="D109" s="14" t="str">
        <x:v>总体；Android / iOS / 客户端未知 / Web；搜索词；搜索类型</x:v>
      </x:c>
      <x:c r="E109" s="14" t="str">
        <x:v>单日、逐日趋势、区间去重人数、日均</x:v>
      </x:c>
      <x:c r="F109" s="14" t="str">
        <x:v>补搜索用户的区间去重及搜索词、类型、客户端拆分；热词榜不提供行为人数。；补区间用户去重查询；不能累加每日人数；补对应维度的完整每日数据（含日期与完整性）</x:v>
      </x:c>
      <x:c r="G109" s="14" t="str">
        <x:v>客户端：Android；客户端：iOS；客户端：客户端未知；客户端：Web；搜索词；搜索类型</x:v>
      </x:c>
      <x:c r="H109" s="14" t="str">
        <x:v>数值
区间去重人数（同一用户整个区间只计一次）
逐日数值、日期及完整性标记（真实0与缺失分开）</x:v>
      </x:c>
      <x:c r="I109" s="14" t="str">
        <x:v>内容发现与互动</x:v>
      </x:c>
      <x:c r="J109" s="14" t="str">
        <x:v>补齐并接入BI后：
按对应范围查看每日值及趋势；整段时间去重人数，同一用户只计一次；BI算日均，缺失日期不补0</x:v>
      </x:c>
    </x:row>
    <x:row r="110" ht="62" customHeight="1">
      <x:c r="A110" s="14" t="str">
        <x:v>M094</x:v>
      </x:c>
      <x:c r="B110" s="14" t="str">
        <x:v>广告点击用户数</x:v>
      </x:c>
      <x:c r="C110" s="22" t="str">
        <x:v>支持</x:v>
      </x:c>
      <x:c r="D110" s="14" t="str">
        <x:v>后台总点击 / 导航广告 / 广告；(后台总点击 / 导航广告 / 广告) × 新用户</x:v>
      </x:c>
      <x:c r="E110" s="14" t="str">
        <x:v>单日、逐日趋势、日均、日对比</x:v>
      </x:c>
      <x:c r="F110" s="14" t="str">
        <x:v>现有数据与BI计算已支持，无需新增接口；待业务验数。</x:v>
      </x:c>
      <x:c r="G110" s="14" t="str">
        <x:v>后台总点击；导航广告；广告；用户类型：新用户</x:v>
      </x:c>
      <x:c r="H110" s="14" t="str">
        <x:v>数值
逐日数值、日期及完整性标记（真实0与缺失分开）
当前日、前一天、上周同日的日期及数值</x:v>
      </x:c>
      <x:c r="I110" s="14" t="str">
        <x:v>核心经营总览</x:v>
      </x:c>
      <x:c r="J110" s="14" t="str">
        <x:v>已支持：
按对应范围查看每日值及趋势；BI算日均，缺失日期不补0；BI计算较前一天、上周同日的涨跌</x:v>
      </x:c>
    </x:row>
    <x:row r="111" ht="94" customHeight="1">
      <x:c r="A111" s="13"/>
      <x:c r="B111" s="13"/>
      <x:c r="C111" s="24" t="str">
        <x:v>未支持</x:v>
      </x:c>
      <x:c r="D111" s="13" t="str">
        <x:v>1. 总体；新用户
2. 后台总点击 / 导航广告 / 广告；(后台总点击 / 导航广告 / 广告) × 新用户</x:v>
      </x:c>
      <x:c r="E111" s="13" t="str">
        <x:v>1. 单日、逐日趋势、区间去重人数、日均、日对比
2. 区间去重人数</x:v>
      </x:c>
      <x:c r="F111" s="13" t="str">
        <x:v>1）核对广告、导航与总点击人数的身份和覆盖，补周期去重，IP数不能代替用户数。；补区间用户去重查询；不能累加每日人数；补对应维度的完整每日数据（含日期与完整性）
2）补区间用户去重查询；不能累加每日人数</x:v>
      </x:c>
      <x:c r="G111" s="13" t="str">
        <x:v>用户类型：新用户；后台总点击；导航广告；广告</x:v>
      </x:c>
      <x:c r="H111" s="13" t="str">
        <x:v>数值
区间去重人数（同一用户整个区间只计一次）
逐日数值、日期及完整性标记（真实0与缺失分开）
当前日、前一天、上周同日的日期及数值</x:v>
      </x:c>
      <x:c r="I111" s="13" t="str">
        <x:v>核心经营总览</x:v>
      </x:c>
      <x:c r="J111" s="13" t="str">
        <x:v>补齐并接入BI后：
1）按对应范围查看每日值及趋势；整段时间去重人数，同一用户只计一次；BI算日均，缺失日期不补0；BI计算较前一天、上周同日的涨跌
2）整段时间去重人数，同一用户只计一次</x:v>
      </x:c>
    </x:row>
    <x:row r="112" ht="62" customHeight="1">
      <x:c r="A112" s="14" t="str">
        <x:v>M095</x:v>
      </x:c>
      <x:c r="B112" s="14" t="str">
        <x:v>落地页下载IP数（去重）</x:v>
      </x:c>
      <x:c r="C112" s="26" t="str">
        <x:v>部分支持</x:v>
      </x:c>
      <x:c r="D112" s="14" t="str">
        <x:v>总体</x:v>
      </x:c>
      <x:c r="E112" s="14" t="str">
        <x:v>单日、逐日趋势、区间日去重IP累计</x:v>
      </x:c>
      <x:c r="F112" s="14" t="str">
        <x:v>BI复用已有每日IP输入计算并展示；无需重复接口；已有每日输入，BI复用取数和计算，无需新增统计接口</x:v>
      </x:c>
      <x:c r="G112" s="14" t="str">
        <x:v>业务平台及日期</x:v>
      </x:c>
      <x:c r="H112" s="14" t="str">
        <x:v>数值
每日、各下载目标的去重IP数及日期完整性</x:v>
      </x:c>
      <x:c r="I112" s="14" t="str">
        <x:v>获客与新增</x:v>
      </x:c>
      <x:c r="J112" s="14" t="str">
        <x:v>补齐并接入BI后：
按对应范围查看每日值及趋势；BI累计各日、各下载目标去重IP数（跨日可重复）</x:v>
      </x:c>
    </x:row>
    <x:row r="113" ht="78" customHeight="1">
      <x:c r="A113" s="13"/>
      <x:c r="B113" s="13"/>
      <x:c r="C113" s="24" t="str">
        <x:v>未支持</x:v>
      </x:c>
      <x:c r="D113" s="13" t="str">
        <x:v>1. 总体
2. 下载目标；来源渠道</x:v>
      </x:c>
      <x:c r="E113" s="13" t="str">
        <x:v>1. 日均
2. 单日、逐日趋势、区间日去重IP累计、日均</x:v>
      </x:c>
      <x:c r="F113" s="13" t="str">
        <x:v>1）BI复用已有每日IP输入计算并展示；无需重复接口
2）补对应维度的完整每日数据（含日期与完整性）</x:v>
      </x:c>
      <x:c r="G113" s="13" t="str">
        <x:v>下载目标；来源渠道</x:v>
      </x:c>
      <x:c r="H113" s="13" t="str">
        <x:v>逐日数值、日期及完整性标记（真实0与缺失分开）
数值
每日、各下载目标的去重IP数及日期完整性</x:v>
      </x:c>
      <x:c r="I113" s="13" t="str">
        <x:v>获客与新增</x:v>
      </x:c>
      <x:c r="J113" s="13" t="str">
        <x:v>补齐并接入BI后：
1）BI算日均，缺失日期不补0
2）按对应范围查看每日值及趋势；BI累计各日、各下载目标去重IP数（跨日可重复）；BI算日均，缺失日期不补0</x:v>
      </x:c>
    </x:row>
    <x:row r="114" ht="62" customHeight="1">
      <x:c r="A114" s="14" t="str">
        <x:v>M097</x:v>
      </x:c>
      <x:c r="B114" s="14" t="str">
        <x:v>起播次数</x:v>
      </x:c>
      <x:c r="C114" s="28" t="str">
        <x:v>未支持</x:v>
      </x:c>
      <x:c r="D114" s="14" t="str">
        <x:v>总体；Android / iOS / 客户端未知 / Web；播放模式；播放触发方式；视频；视频类型；版本</x:v>
      </x:c>
      <x:c r="E114" s="14" t="str">
        <x:v>单日、逐日趋势、区间合计、日均</x:v>
      </x:c>
      <x:c r="F114" s="14" t="str">
        <x:v>关联播放尝试与成功起播终态，补起播次数及视频、类型、版本等拆分。；补对应维度的完整每日数据（含日期与完整性）</x:v>
      </x:c>
      <x:c r="G114" s="14" t="str">
        <x:v>客户端：Android；客户端：iOS；客户端：客户端未知；客户端：Web；播放模式；播放触发方式；视频；视频类型；版本</x:v>
      </x:c>
      <x:c r="H114" s="14" t="str">
        <x:v>数值
逐日数值、日期及完整性标记（真实0与缺失分开）</x:v>
      </x:c>
      <x:c r="I114" s="14" t="str">
        <x:v>视频消费表现；播放与观看质量</x:v>
      </x:c>
      <x:c r="J114" s="14" t="str">
        <x:v>补齐并接入BI后：
按对应范围查看每日值及趋势；BI累加每日值，得到所选区间合计；BI算日均，缺失日期不补0</x:v>
      </x:c>
    </x:row>
    <x:row r="115" ht="62" customHeight="1">
      <x:c r="A115" s="14" t="str">
        <x:v>M098</x:v>
      </x:c>
      <x:c r="B115" s="14" t="str">
        <x:v>观影用户人均观影时长</x:v>
      </x:c>
      <x:c r="C115" s="22" t="str">
        <x:v>支持</x:v>
      </x:c>
      <x:c r="D115" s="14" t="str">
        <x:v>总体</x:v>
      </x:c>
      <x:c r="E115" s="14" t="str">
        <x:v>单日、逐日趋势、日对比</x:v>
      </x:c>
      <x:c r="F115" s="14" t="str">
        <x:v>现有数据与BI计算已支持，无需新增接口；待业务验数。</x:v>
      </x:c>
      <x:c r="G115" s="14" t="str">
        <x:v>业务平台及日期</x:v>
      </x:c>
      <x:c r="H115" s="14" t="str">
        <x:v>同日总量、同日去重人数（已有口径一致的人均值可复用）
当前日、前一天、上周同日的日期及数值</x:v>
      </x:c>
      <x:c r="I115" s="14" t="str">
        <x:v>视频消费表现</x:v>
      </x:c>
      <x:c r="J115" s="14" t="str">
        <x:v>已支持：
按对应范围查看每日值及趋势；BI计算较前一天、上周同日的涨跌</x:v>
      </x:c>
    </x:row>
    <x:row r="116" ht="94" customHeight="1">
      <x:c r="A116" s="13"/>
      <x:c r="B116" s="13"/>
      <x:c r="C116" s="24" t="str">
        <x:v>未支持</x:v>
      </x:c>
      <x:c r="D116" s="13" t="str">
        <x:v>1. 总体
2. Android / iOS / 客户端未知 / Web；新用户 / 老用户；内部导量 / 自然新增；来源渠道；其他／未分类视频 / 短视频 / 长视频</x:v>
      </x:c>
      <x:c r="E116" s="13" t="str">
        <x:v>1. 区间人均值
2. 单日、逐日趋势、区间人均值</x:v>
      </x:c>
      <x:c r="F116" s="13" t="str">
        <x:v>1）补区间去重人数及对应总量；可累加总量复用日值，人均由BI计算
2）补对应维度的完整每日数据（含日期与完整性）；补区间去重人数及对应总量；可累加总量复用日值，人均由BI计算</x:v>
      </x:c>
      <x:c r="G116" s="13" t="str">
        <x:v>客户端：Android；客户端：iOS；客户端：客户端未知；客户端：Web；用户类型：新用户；用户类型：老用户；内部导量；自然新增；来源渠道；其他／未分类视频；短视频；长视频</x:v>
      </x:c>
      <x:c r="H116" s="13" t="str">
        <x:v>同范围区间总量、区间去重人数（可累加总量可返回日值）
同日总量、同日去重人数（已有口径一致的人均值可复用）</x:v>
      </x:c>
      <x:c r="I116" s="13" t="str">
        <x:v>视频消费表现</x:v>
      </x:c>
      <x:c r="J116" s="13" t="str">
        <x:v>补齐并接入BI后：
1）BI用区间总量÷区间去重人数计算人均值
2）按对应范围查看每日值及趋势；BI用区间总量÷区间去重人数计算人均值</x:v>
      </x:c>
    </x:row>
    <x:row r="117" ht="46" customHeight="1">
      <x:c r="A117" s="14" t="str">
        <x:v>M099</x:v>
      </x:c>
      <x:c r="B117" s="14" t="str">
        <x:v>访问-下载点击转化率（去重）</x:v>
      </x:c>
      <x:c r="C117" s="26" t="str">
        <x:v>部分支持</x:v>
      </x:c>
      <x:c r="D117" s="14" t="str">
        <x:v>总体</x:v>
      </x:c>
      <x:c r="E117" s="14" t="str">
        <x:v>单日、逐日趋势</x:v>
      </x:c>
      <x:c r="F117" s="14" t="str">
        <x:v>BI复用已有每日IP输入计算并展示；无需重复接口</x:v>
      </x:c>
      <x:c r="G117" s="14" t="str">
        <x:v>业务平台及日期</x:v>
      </x:c>
      <x:c r="H117" s="14" t="str">
        <x:v>数值、分子、分母</x:v>
      </x:c>
      <x:c r="I117" s="14" t="str">
        <x:v>获客与新增；核心经营总览</x:v>
      </x:c>
      <x:c r="J117" s="14" t="str">
        <x:v>补齐并接入BI后：
按对应范围查看每日值及趋势</x:v>
      </x:c>
    </x:row>
    <x:row r="118" ht="94" customHeight="1">
      <x:c r="A118" s="13"/>
      <x:c r="B118" s="13"/>
      <x:c r="C118" s="24" t="str">
        <x:v>未支持</x:v>
      </x:c>
      <x:c r="D118" s="13" t="str">
        <x:v>1. 总体
2. 下载目标；来源渠道</x:v>
      </x:c>
      <x:c r="E118" s="13" t="str">
        <x:v>1. 区间转化率／比率
2. 单日、逐日趋势、区间转化率／比率</x:v>
      </x:c>
      <x:c r="F118" s="13" t="str">
        <x:v>1）核对并补齐同范围周期IP查询；IP·天不能替代区间去重
2）补对应维度的完整每日数据（含日期与完整性）；核对并补齐同范围周期IP查询；IP·天不能替代区间去重</x:v>
      </x:c>
      <x:c r="G118" s="13" t="str">
        <x:v>下载目标；来源渠道</x:v>
      </x:c>
      <x:c r="H118" s="13" t="str">
        <x:v>同范围区间访问、下载IP查询结果及周期去重规则（须确认，不能用IP·天替代）
数值、分子、分母</x:v>
      </x:c>
      <x:c r="I118" s="13" t="str">
        <x:v>获客与新增；核心经营总览</x:v>
      </x:c>
      <x:c r="J118" s="13" t="str">
        <x:v>补齐并接入BI后：
1）BI用同范围分子÷分母计算区间比率
2）按对应范围查看每日值及趋势；BI用同范围分子÷分母计算区间比率</x:v>
      </x:c>
    </x:row>
    <x:row r="119" ht="62" customHeight="1">
      <x:c r="A119" s="14" t="str">
        <x:v>M100</x:v>
      </x:c>
      <x:c r="B119" s="14" t="str">
        <x:v>48小时再次激活率</x:v>
      </x:c>
      <x:c r="C119" s="28" t="str">
        <x:v>未支持</x:v>
      </x:c>
      <x:c r="D119" s="14" t="str">
        <x:v>总体</x:v>
      </x:c>
      <x:c r="E119" s="14" t="str">
        <x:v>单日、逐日趋势、区间转化率／比率</x:v>
      </x:c>
      <x:c r="F119" s="14" t="str">
        <x:v>补首次体验失败用户中48小时再激活的人数、分母及观察完成状态。；补同范围区间分子、分母；可累加量复用日值，比率由BI计算</x:v>
      </x:c>
      <x:c r="G119" s="14" t="str">
        <x:v>业务平台及日期</x:v>
      </x:c>
      <x:c r="H119" s="14" t="str">
        <x:v>数值、分子、分母
同范围、同口径的区间分子和分母（可累加量可返回日值）</x:v>
      </x:c>
      <x:c r="I119" s="14" t="str">
        <x:v>活跃与留存</x:v>
      </x:c>
      <x:c r="J119" s="14" t="str">
        <x:v>补齐并接入BI后：
按对应范围查看每日值及趋势；BI用同范围分子÷分母计算区间比率</x:v>
      </x:c>
    </x:row>
    <x:row r="120" ht="78" customHeight="1">
      <x:c r="A120" s="14" t="str">
        <x:v>M101</x:v>
      </x:c>
      <x:c r="B120" s="14" t="str">
        <x:v>观影次数</x:v>
      </x:c>
      <x:c r="C120" s="22" t="str">
        <x:v>支持</x:v>
      </x:c>
      <x:c r="D120" s="14" t="str">
        <x:v>总体</x:v>
      </x:c>
      <x:c r="E120" s="14" t="str">
        <x:v>单日、逐日趋势、区间合计、日均、日对比</x:v>
      </x:c>
      <x:c r="F120" s="14" t="str">
        <x:v>现有数据与BI计算已支持，无需新增接口；待业务验数。</x:v>
      </x:c>
      <x:c r="G120" s="14" t="str">
        <x:v>业务平台及日期</x:v>
      </x:c>
      <x:c r="H120" s="14" t="str">
        <x:v>数值
逐日数值、日期及完整性标记（真实0与缺失分开）
当前日、前一天、上周同日的日期及数值</x:v>
      </x:c>
      <x:c r="I120" s="14" t="str">
        <x:v>视频消费表现；播放与观看质量</x:v>
      </x:c>
      <x:c r="J120" s="14" t="str">
        <x:v>已支持：
按对应范围查看每日值及趋势；BI累加每日值，得到所选区间合计；BI算日均，缺失日期不补0；BI计算较前一天、上周同日的涨跌</x:v>
      </x:c>
    </x:row>
    <x:row r="121" ht="94" customHeight="1">
      <x:c r="A121" s="13"/>
      <x:c r="B121" s="13"/>
      <x:c r="C121" s="24" t="str">
        <x:v>未支持</x:v>
      </x:c>
      <x:c r="D121" s="13" t="str">
        <x:v>Android / iOS / 客户端未知 / Web；新用户 / 老用户；内部导量 / 自然新增；播放模式；来源渠道；播放触发方式；视频；视频类型；版本</x:v>
      </x:c>
      <x:c r="E121" s="13" t="str">
        <x:v>单日、逐日趋势、区间合计、日均</x:v>
      </x:c>
      <x:c r="F121" s="13" t="str">
        <x:v>补对应维度的完整每日数据（含日期与完整性）</x:v>
      </x:c>
      <x:c r="G121" s="13" t="str">
        <x:v>客户端：Android；客户端：iOS；客户端：客户端未知；客户端：Web；用户类型：新用户；用户类型：老用户；内部导量；自然新增；播放模式；来源渠道；播放触发方式；视频；视频类型；版本</x:v>
      </x:c>
      <x:c r="H121" s="13" t="str">
        <x:v>数值
逐日数值、日期及完整性标记（真实0与缺失分开）</x:v>
      </x:c>
      <x:c r="I121" s="13" t="str">
        <x:v>视频消费表现；播放与观看质量</x:v>
      </x:c>
      <x:c r="J121" s="13" t="str">
        <x:v>补齐并接入BI后：
按对应范围查看每日值及趋势；BI累加每日值，得到所选区间合计；BI算日均，缺失日期不补0</x:v>
      </x:c>
    </x:row>
    <x:row r="122" ht="78" customHeight="1">
      <x:c r="A122" s="14" t="str">
        <x:v>M102</x:v>
      </x:c>
      <x:c r="B122" s="14" t="str">
        <x:v>观影总时长</x:v>
      </x:c>
      <x:c r="C122" s="22" t="str">
        <x:v>支持</x:v>
      </x:c>
      <x:c r="D122" s="14" t="str">
        <x:v>总体</x:v>
      </x:c>
      <x:c r="E122" s="14" t="str">
        <x:v>单日、逐日趋势、区间合计、日均、日对比</x:v>
      </x:c>
      <x:c r="F122" s="14" t="str">
        <x:v>现有数据与BI计算已支持，无需新增接口；待业务验数。</x:v>
      </x:c>
      <x:c r="G122" s="14" t="str">
        <x:v>业务平台及日期</x:v>
      </x:c>
      <x:c r="H122" s="14" t="str">
        <x:v>数值
逐日数值、日期及完整性标记（真实0与缺失分开）
当前日、前一天、上周同日的日期及数值</x:v>
      </x:c>
      <x:c r="I122" s="14" t="str">
        <x:v>核心经营总览；视频消费表现</x:v>
      </x:c>
      <x:c r="J122" s="14" t="str">
        <x:v>已支持：
按对应范围查看每日值及趋势；BI累加每日值，得到所选区间合计；BI算日均，缺失日期不补0；BI计算较前一天、上周同日的涨跌</x:v>
      </x:c>
    </x:row>
    <x:row r="123" ht="94" customHeight="1">
      <x:c r="A123" s="13"/>
      <x:c r="B123" s="13"/>
      <x:c r="C123" s="24" t="str">
        <x:v>未支持</x:v>
      </x:c>
      <x:c r="D123" s="13" t="str">
        <x:v>Android / iOS / 客户端未知 / Web；新用户 / 老用户；内部导量 / 自然新增；来源渠道；视频；视频类型 / 其他／未分类视频 / 短视频 / 长视频</x:v>
      </x:c>
      <x:c r="E123" s="13" t="str">
        <x:v>单日、逐日趋势、区间合计、日均</x:v>
      </x:c>
      <x:c r="F123" s="13" t="str">
        <x:v>补对应维度的完整每日数据（含日期与完整性）</x:v>
      </x:c>
      <x:c r="G123" s="13" t="str">
        <x:v>客户端：Android；客户端：iOS；客户端：客户端未知；客户端：Web；用户类型：新用户；用户类型：老用户；内部导量；自然新增；来源渠道；视频；视频类型；其他／未分类视频；短视频；长视频</x:v>
      </x:c>
      <x:c r="H123" s="13" t="str">
        <x:v>数值
逐日数值、日期及完整性标记（真实0与缺失分开）</x:v>
      </x:c>
      <x:c r="I123" s="13" t="str">
        <x:v>视频消费表现</x:v>
      </x:c>
      <x:c r="J123" s="13" t="str">
        <x:v>补齐并接入BI后：
按对应范围查看每日值及趋势；BI累加每日值，得到所选区间合计；BI算日均，缺失日期不补0</x:v>
      </x:c>
    </x:row>
    <x:row r="124" ht="94" customHeight="1">
      <x:c r="A124" s="14" t="str">
        <x:v>M104</x:v>
      </x:c>
      <x:c r="B124" s="14" t="str">
        <x:v>复购用户数</x:v>
      </x:c>
      <x:c r="C124" s="28" t="str">
        <x:v>未支持</x:v>
      </x:c>
      <x:c r="D124" s="14" t="str">
        <x:v>总体；Android / iOS / 客户端未知 / Web；新用户 / 老用户；微信 / 支付宝；VIP商品 / 金币商品；来源渠道；(Android / iOS / 客户端未知 / Web) × (新用户 / 老用户)</x:v>
      </x:c>
      <x:c r="E124" s="14" t="str">
        <x:v>单日、逐日趋势、区间去重人数、日均</x:v>
      </x:c>
      <x:c r="F124" s="14" t="str">
        <x:v>关联用户历史充值顺序，补第二笔及以后成功到账用户的区间去重和业务拆分。；补区间用户去重查询；不能累加每日人数；补对应维度的完整每日数据（含日期与完整性）</x:v>
      </x:c>
      <x:c r="G124" s="14" t="str">
        <x:v>客户端：Android；客户端：iOS；客户端：客户端未知；客户端：Web；用户类型：新用户；用户类型：老用户；支付方式：微信；支付方式：支付宝；商品类型：VIP商品；商品类型：金币商品；来源渠道</x:v>
      </x:c>
      <x:c r="H124" s="14" t="str">
        <x:v>数值
区间去重人数（同一用户整个区间只计一次）
逐日数值、日期及完整性标记（真实0与缺失分开）</x:v>
      </x:c>
      <x:c r="I124" s="14" t="str">
        <x:v>会员与付费经营</x:v>
      </x:c>
      <x:c r="J124" s="14" t="str">
        <x:v>补齐并接入BI后：
按对应范围查看每日值及趋势；整段时间去重人数，同一用户只计一次；BI算日均，缺失日期不补0</x:v>
      </x:c>
    </x:row>
    <x:row r="125" ht="94" customHeight="1">
      <x:c r="A125" s="14" t="str">
        <x:v>M105</x:v>
      </x:c>
      <x:c r="B125" s="14" t="str">
        <x:v>复购充值金额</x:v>
      </x:c>
      <x:c r="C125" s="28" t="str">
        <x:v>未支持</x:v>
      </x:c>
      <x:c r="D125" s="14" t="str">
        <x:v>总体；Android / iOS / 客户端未知 / Web；新用户 / 老用户；微信 / 支付宝；VIP商品 / 金币商品；来源渠道；(Android / iOS / 客户端未知 / Web) × (新用户 / 老用户)</x:v>
      </x:c>
      <x:c r="E125" s="14" t="str">
        <x:v>单日、逐日趋势、区间合计、日均</x:v>
      </x:c>
      <x:c r="F125" s="14" t="str">
        <x:v>关联用户历史充值顺序，补第二笔及以后成功到账订单金额及业务拆分。；补对应维度的完整每日数据（含日期与完整性）</x:v>
      </x:c>
      <x:c r="G125" s="14" t="str">
        <x:v>客户端：Android；客户端：iOS；客户端：客户端未知；客户端：Web；用户类型：新用户；用户类型：老用户；支付方式：微信；支付方式：支付宝；商品类型：VIP商品；商品类型：金币商品；来源渠道</x:v>
      </x:c>
      <x:c r="H125" s="14" t="str">
        <x:v>数值
逐日数值、日期及完整性标记（真实0与缺失分开）</x:v>
      </x:c>
      <x:c r="I125" s="14" t="str">
        <x:v>会员与付费经营</x:v>
      </x:c>
      <x:c r="J125" s="14" t="str">
        <x:v>补齐并接入BI后：
按对应范围查看每日值及趋势；BI累加每日值，得到所选区间合计；BI算日均，缺失日期不补0</x:v>
      </x:c>
    </x:row>
    <x:row r="126" ht="62" customHeight="1">
      <x:c r="A126" s="14" t="str">
        <x:v>M106</x:v>
      </x:c>
      <x:c r="B126" s="14" t="str">
        <x:v>视频首页分类Tab点击次数</x:v>
      </x:c>
      <x:c r="C126" s="28" t="str">
        <x:v>未支持</x:v>
      </x:c>
      <x:c r="D126" s="14" t="str">
        <x:v>一级分类；一级分类 × Tab分组；一级分类 × Tab</x:v>
      </x:c>
      <x:c r="E126" s="14" t="str">
        <x:v>单日、逐日趋势、区间合计、日均</x:v>
      </x:c>
      <x:c r="F126" s="14" t="str">
        <x:v>补对应维度的完整每日数据（含日期与完整性）</x:v>
      </x:c>
      <x:c r="G126" s="14" t="str">
        <x:v>一级分类；Tab分组；Tab</x:v>
      </x:c>
      <x:c r="H126" s="14" t="str">
        <x:v>数值
逐日数值、日期及完整性标记（真实0与缺失分开）</x:v>
      </x:c>
      <x:c r="I126" s="14" t="str">
        <x:v>内容发现与互动</x:v>
      </x:c>
      <x:c r="J126" s="14" t="str">
        <x:v>补齐并接入BI后：
按对应范围查看每日值及趋势；BI累加每日值，得到所选区间合计；BI算日均，缺失日期不补0</x:v>
      </x:c>
    </x:row>
    <x:row r="127" ht="62" customHeight="1">
      <x:c r="A127" s="14" t="str">
        <x:v>M107</x:v>
      </x:c>
      <x:c r="B127" s="14" t="str">
        <x:v>视频首页分类Tab点击用户数</x:v>
      </x:c>
      <x:c r="C127" s="28" t="str">
        <x:v>未支持</x:v>
      </x:c>
      <x:c r="D127" s="14" t="str">
        <x:v>一级分类；一级分类 × Tab分组；一级分类 × Tab</x:v>
      </x:c>
      <x:c r="E127" s="14" t="str">
        <x:v>单日、逐日趋势、区间去重人数、日均</x:v>
      </x:c>
      <x:c r="F127" s="14" t="str">
        <x:v>补对应维度的完整每日数据（含日期与完整性）；补区间用户去重查询；不能累加每日人数</x:v>
      </x:c>
      <x:c r="G127" s="14" t="str">
        <x:v>一级分类；Tab分组；Tab</x:v>
      </x:c>
      <x:c r="H127" s="14" t="str">
        <x:v>数值
区间去重人数（同一用户整个区间只计一次）
逐日数值、日期及完整性标记（真实0与缺失分开）</x:v>
      </x:c>
      <x:c r="I127" s="14" t="str">
        <x:v>内容发现与互动</x:v>
      </x:c>
      <x:c r="J127" s="14" t="str">
        <x:v>补齐并接入BI后：
按对应范围查看每日值及趋势；整段时间去重人数，同一用户只计一次；BI算日均，缺失日期不补0</x:v>
      </x:c>
    </x:row>
    <x:row r="128" ht="78" customHeight="1">
      <x:c r="A128" s="14" t="str">
        <x:v>M108</x:v>
      </x:c>
      <x:c r="B128" s="14" t="str">
        <x:v>视频首页分类Tab人均点击次数</x:v>
      </x:c>
      <x:c r="C128" s="28" t="str">
        <x:v>未支持</x:v>
      </x:c>
      <x:c r="D128" s="14" t="str">
        <x:v>一级分类；一级分类 × Tab分组；一级分类 × Tab</x:v>
      </x:c>
      <x:c r="E128" s="14" t="str">
        <x:v>单日、逐日趋势、区间人均值</x:v>
      </x:c>
      <x:c r="F128" s="14" t="str">
        <x:v>补对应维度的完整每日数据（含日期与完整性）；补区间去重人数及对应总量；可累加总量复用日值，人均由BI计算</x:v>
      </x:c>
      <x:c r="G128" s="14" t="str">
        <x:v>一级分类；Tab分组；Tab</x:v>
      </x:c>
      <x:c r="H128" s="14" t="str">
        <x:v>同日总量、同日去重人数（已有口径一致的人均值可复用）
同范围区间总量、区间去重人数（可累加总量可返回日值）</x:v>
      </x:c>
      <x:c r="I128" s="14" t="str">
        <x:v>内容发现与互动</x:v>
      </x:c>
      <x:c r="J128" s="14" t="str">
        <x:v>补齐并接入BI后：
按对应范围查看每日值及趋势；BI用区间总量÷区间去重人数计算人均值</x:v>
      </x:c>
    </x:row>
    <x:row r="129" ht="62" customHeight="1">
      <x:c r="A129" s="14" t="str">
        <x:v>M109</x:v>
      </x:c>
      <x:c r="B129" s="14" t="str">
        <x:v>视频内容点击次数</x:v>
      </x:c>
      <x:c r="C129" s="28" t="str">
        <x:v>未支持</x:v>
      </x:c>
      <x:c r="D129" s="14" t="str">
        <x:v>总体；位置；视频；一级分类 × 视频首页分类；列表 × 页面；列表 × 页面 × Tab分组 × 所属Tab</x:v>
      </x:c>
      <x:c r="E129" s="14" t="str">
        <x:v>单日、逐日趋势、区间合计、日均</x:v>
      </x:c>
      <x:c r="F129" s="14" t="str">
        <x:v>核对分类点击字段和稳定分类编号，另补全局页面、列表、Tab来源及独立总体。；补对应维度的完整每日数据（含日期与完整性）</x:v>
      </x:c>
      <x:c r="G129" s="14" t="str">
        <x:v>位置；视频；一级分类；视频首页分类；列表；页面；Tab分组；所属Tab</x:v>
      </x:c>
      <x:c r="H129" s="14" t="str">
        <x:v>数值
逐日数值、日期及完整性标记（真实0与缺失分开）</x:v>
      </x:c>
      <x:c r="I129" s="14" t="str">
        <x:v>内容发现与互动</x:v>
      </x:c>
      <x:c r="J129" s="14" t="str">
        <x:v>补齐并接入BI后：
按对应范围查看每日值及趋势；BI累加每日值，得到所选区间合计；BI算日均，缺失日期不补0</x:v>
      </x:c>
    </x:row>
    <x:row r="130" ht="62" customHeight="1">
      <x:c r="A130" s="14" t="str">
        <x:v>M110</x:v>
      </x:c>
      <x:c r="B130" s="14" t="str">
        <x:v>活跃用户人均广告点击次数</x:v>
      </x:c>
      <x:c r="C130" s="22" t="str">
        <x:v>支持</x:v>
      </x:c>
      <x:c r="D130" s="14" t="str">
        <x:v>总体</x:v>
      </x:c>
      <x:c r="E130" s="14" t="str">
        <x:v>单日、逐日趋势、日对比</x:v>
      </x:c>
      <x:c r="F130" s="14" t="str">
        <x:v>现有数据与BI计算已支持，无需新增接口；待业务验数。</x:v>
      </x:c>
      <x:c r="G130" s="14" t="str">
        <x:v>业务平台及日期</x:v>
      </x:c>
      <x:c r="H130" s="14" t="str">
        <x:v>同日总量、同日去重人数（已有口径一致的人均值可复用）
当前日、前一天、上周同日的日期及数值</x:v>
      </x:c>
      <x:c r="I130" s="14" t="str">
        <x:v>核心经营总览</x:v>
      </x:c>
      <x:c r="J130" s="14" t="str">
        <x:v>已支持：
按对应范围查看每日值及趋势；BI计算较前一天、上周同日的涨跌</x:v>
      </x:c>
    </x:row>
    <x:row r="131" ht="94" customHeight="1">
      <x:c r="A131" s="13"/>
      <x:c r="B131" s="13"/>
      <x:c r="C131" s="24" t="str">
        <x:v>未支持</x:v>
      </x:c>
      <x:c r="D131" s="13" t="str">
        <x:v>1. 总体
2. 新用户</x:v>
      </x:c>
      <x:c r="E131" s="13" t="str">
        <x:v>1. 区间人均值
2. 单日、逐日趋势、区间人均值、日对比</x:v>
      </x:c>
      <x:c r="F131" s="13" t="str">
        <x:v>1）补区间去重人数及对应总量；可累加总量复用日值，人均由BI计算
2）补对应维度的完整每日数据（含日期与完整性）；补区间去重人数及对应总量；可累加总量复用日值，人均由BI计算</x:v>
      </x:c>
      <x:c r="G131" s="13" t="str">
        <x:v>用户类型：新用户</x:v>
      </x:c>
      <x:c r="H131" s="13" t="str">
        <x:v>同范围区间总量、区间去重人数（可累加总量可返回日值）
同日总量、同日去重人数（已有口径一致的人均值可复用）
当前日、前一天、上周同日的日期及数值</x:v>
      </x:c>
      <x:c r="I131" s="13" t="str">
        <x:v>核心经营总览</x:v>
      </x:c>
      <x:c r="J131" s="13" t="str">
        <x:v>补齐并接入BI后：
1）BI用区间总量÷区间去重人数计算人均值
2）按对应范围查看每日值及趋势；BI用区间总量÷区间去重人数计算人均值；BI计算较前一天、上周同日的涨跌</x:v>
      </x:c>
    </x:row>
    <x:row r="132" ht="62" customHeight="1">
      <x:c r="A132" s="14" t="str">
        <x:v>M111</x:v>
      </x:c>
      <x:c r="B132" s="14" t="str">
        <x:v>活跃用户广告点击渗透率</x:v>
      </x:c>
      <x:c r="C132" s="22" t="str">
        <x:v>支持</x:v>
      </x:c>
      <x:c r="D132" s="14" t="str">
        <x:v>总体</x:v>
      </x:c>
      <x:c r="E132" s="14" t="str">
        <x:v>单日、逐日趋势、日对比</x:v>
      </x:c>
      <x:c r="F132" s="14" t="str">
        <x:v>现有数据与BI计算已支持，无需新增接口；待业务验数。</x:v>
      </x:c>
      <x:c r="G132" s="14" t="str">
        <x:v>业务平台及日期</x:v>
      </x:c>
      <x:c r="H132" s="14" t="str">
        <x:v>数值、分子、分母
当前日、前一天、上周同日的日期及数值</x:v>
      </x:c>
      <x:c r="I132" s="14" t="str">
        <x:v>核心经营总览</x:v>
      </x:c>
      <x:c r="J132" s="14" t="str">
        <x:v>已支持：
按对应范围查看每日值及趋势；BI计算较前一天、上周同日的涨跌</x:v>
      </x:c>
    </x:row>
    <x:row r="133" ht="94" customHeight="1">
      <x:c r="A133" s="13"/>
      <x:c r="B133" s="13"/>
      <x:c r="C133" s="24" t="str">
        <x:v>未支持</x:v>
      </x:c>
      <x:c r="D133" s="13" t="str">
        <x:v>1. 总体
2. 新用户</x:v>
      </x:c>
      <x:c r="E133" s="13" t="str">
        <x:v>1. 区间转化率／比率
2. 单日、逐日趋势、区间转化率／比率、日对比</x:v>
      </x:c>
      <x:c r="F133" s="13" t="str">
        <x:v>1）补同范围区间分子、分母；可累加量复用日值，比率由BI计算
2）补对应维度的完整每日数据（含日期与完整性）；补同范围区间分子、分母；可累加量复用日值，比率由BI计算</x:v>
      </x:c>
      <x:c r="G133" s="13" t="str">
        <x:v>用户类型：新用户</x:v>
      </x:c>
      <x:c r="H133" s="13" t="str">
        <x:v>同范围、同口径的区间分子和分母（可累加量可返回日值）
数值、分子、分母
当前日、前一天、上周同日的日期及数值</x:v>
      </x:c>
      <x:c r="I133" s="13" t="str">
        <x:v>核心经营总览</x:v>
      </x:c>
      <x:c r="J133" s="13" t="str">
        <x:v>补齐并接入BI后：
1）BI用同范围分子÷分母计算区间比率
2）按对应范围查看每日值及趋势；BI用同范围分子÷分母计算区间比率；BI计算较前一天、上周同日的涨跌</x:v>
      </x:c>
    </x:row>
    <x:row r="134" ht="78" customHeight="1">
      <x:c r="A134" s="14" t="str">
        <x:v>M112</x:v>
      </x:c>
      <x:c r="B134" s="14" t="str">
        <x:v>支付订单获取次数</x:v>
      </x:c>
      <x:c r="C134" s="22" t="str">
        <x:v>支持</x:v>
      </x:c>
      <x:c r="D134" s="14" t="str">
        <x:v>总体；微信 / 支付宝</x:v>
      </x:c>
      <x:c r="E134" s="14" t="str">
        <x:v>单日、逐日趋势、区间合计、日均、日对比</x:v>
      </x:c>
      <x:c r="F134" s="14" t="str">
        <x:v>现有数据与BI计算已支持，无需新增接口；待业务验数。</x:v>
      </x:c>
      <x:c r="G134" s="14" t="str">
        <x:v>支付方式：微信；支付方式：支付宝</x:v>
      </x:c>
      <x:c r="H134" s="14" t="str">
        <x:v>数值
逐日数值、日期及完整性标记（真实0与缺失分开）
当前日、前一天、上周同日的日期及数值</x:v>
      </x:c>
      <x:c r="I134" s="14" t="str">
        <x:v>核心经营总览；支付链路与到账质量</x:v>
      </x:c>
      <x:c r="J134" s="14" t="str">
        <x:v>已支持：
按对应范围查看每日值及趋势；BI累加每日值，得到所选区间合计；BI算日均，缺失日期不补0；BI计算较前一天、上周同日的涨跌</x:v>
      </x:c>
    </x:row>
    <x:row r="135" ht="78" customHeight="1">
      <x:c r="A135" s="14" t="str">
        <x:v>M113</x:v>
      </x:c>
      <x:c r="B135" s="14" t="str">
        <x:v>支付订单获取用户数</x:v>
      </x:c>
      <x:c r="C135" s="28" t="str">
        <x:v>未支持</x:v>
      </x:c>
      <x:c r="D135" s="14" t="str">
        <x:v>总体；微信 / 支付宝</x:v>
      </x:c>
      <x:c r="E135" s="14" t="str">
        <x:v>单日、逐日趋势、区间去重人数、日均、日对比</x:v>
      </x:c>
      <x:c r="F135" s="14" t="str">
        <x:v>补成功获取订单用户的周期去重及支付宝、微信拆分，订单次数不能代替人数。；补区间用户去重查询；不能累加每日人数；补对应维度的完整每日数据（含日期与完整性）</x:v>
      </x:c>
      <x:c r="G135" s="14" t="str">
        <x:v>支付方式：微信；支付方式：支付宝</x:v>
      </x:c>
      <x:c r="H135" s="14" t="str">
        <x:v>数值
区间去重人数（同一用户整个区间只计一次）
逐日数值、日期及完整性标记（真实0与缺失分开）
当前日、前一天、上周同日的日期及数值</x:v>
      </x:c>
      <x:c r="I135" s="14" t="str">
        <x:v>核心经营总览；支付链路与到账质量</x:v>
      </x:c>
      <x:c r="J135" s="14" t="str">
        <x:v>补齐并接入BI后：
按对应范围查看每日值及趋势；整段时间去重人数，同一用户只计一次；BI算日均，缺失日期不补0；BI计算较前一天、上周同日的涨跌</x:v>
      </x:c>
    </x:row>
    <x:row r="136" ht="78" customHeight="1">
      <x:c r="A136" s="14" t="str">
        <x:v>M114</x:v>
      </x:c>
      <x:c r="B136" s="14" t="str">
        <x:v>订单获取-支付成功转化率</x:v>
      </x:c>
      <x:c r="C136" s="28" t="str">
        <x:v>未支持</x:v>
      </x:c>
      <x:c r="D136" s="14" t="str">
        <x:v>总体；微信 / 支付宝</x:v>
      </x:c>
      <x:c r="E136" s="14" t="str">
        <x:v>单日、逐日趋势、区间转化率／比率</x:v>
      </x:c>
      <x:c r="F136" s="14" t="str">
        <x:v>关联同一批获取订单与最终支付成功结果，补观察状态，不用两个独立日计数相除。；补同范围区间分子、分母；可累加量复用日值，比率由BI计算；补对应维度的完整每日数据（含日期与完整性）</x:v>
      </x:c>
      <x:c r="G136" s="14" t="str">
        <x:v>支付方式：微信；支付方式：支付宝</x:v>
      </x:c>
      <x:c r="H136" s="14" t="str">
        <x:v>数值、分子、分母
同范围、同口径的区间分子和分母（可累加量可返回日值）</x:v>
      </x:c>
      <x:c r="I136" s="14" t="str">
        <x:v>支付链路与到账质量</x:v>
      </x:c>
      <x:c r="J136" s="14" t="str">
        <x:v>补齐并接入BI后：
按对应范围查看每日值及趋势；BI用同范围分子÷分母计算区间比率</x:v>
      </x:c>
    </x:row>
    <x:row r="137" ht="78" customHeight="1">
      <x:c r="A137" s="14" t="str">
        <x:v>M115</x:v>
      </x:c>
      <x:c r="B137" s="14" t="str">
        <x:v>注册留存用户数</x:v>
      </x:c>
      <x:c r="C137" s="22" t="str">
        <x:v>支持</x:v>
      </x:c>
      <x:c r="D137" s="14" t="str">
        <x:v>次日 / 第3日 / 第30日 / 第7日</x:v>
      </x:c>
      <x:c r="E137" s="14" t="str">
        <x:v>单批用户（起始日）、各起始日趋势</x:v>
      </x:c>
      <x:c r="F137" s="14" t="str">
        <x:v>现有数据与BI计算已支持，无需新增接口；待业务验数。</x:v>
      </x:c>
      <x:c r="G137" s="14" t="str">
        <x:v>用户起始日期；留存天数：次日；留存天数：第3日；留存天数：第30日；留存天数：第7日</x:v>
      </x:c>
      <x:c r="H137" s="14" t="str">
        <x:v>起始日、观察日、同批用户分子与基数、是否已到观察日
配套输入：首日注册用户数、次日登录注册用户数（公式及范围见定义表）</x:v>
      </x:c>
      <x:c r="I137" s="14" t="str">
        <x:v>核心经营总览；活跃与留存</x:v>
      </x:c>
      <x:c r="J137" s="14" t="str">
        <x:v>已支持：
各起始日批次数值及趋势</x:v>
      </x:c>
    </x:row>
    <x:row r="138" ht="126" customHeight="1">
      <x:c r="A138" s="13"/>
      <x:c r="B138" s="13"/>
      <x:c r="C138" s="30" t="str">
        <x:v>部分支持</x:v>
      </x:c>
      <x:c r="D138" s="13" t="str">
        <x:v>1. 总体
2. 次日 / 第3日 / 第30日 / 第7日</x:v>
      </x:c>
      <x:c r="E138" s="13" t="str">
        <x:v>1. 单批用户（起始日）、各起始日趋势
2. 多批次留存人数、同观察天数的批次对比</x:v>
      </x:c>
      <x:c r="F138" s="13" t="str">
        <x:v>1）指定次日／第3／7／30日，分别返回结果
2）补已到观察日的同批用户分子、基数及成熟标记；提供两期同观察天数的批次分子、基数及成熟标记</x:v>
      </x:c>
      <x:c r="G138" s="13" t="str">
        <x:v>用户起始日期；留存天数：1／3／7／30，分别选择；留存天数：次日；留存天数：第3日；留存天数：第30日；留存天数：第7日</x:v>
      </x:c>
      <x:c r="H138" s="13" t="str">
        <x:v>起始日、观察日、同批用户分子与基数、是否已到观察日
各起始日批次的分子、基数、观察日、成熟及完整性标记
两期同观察天数的分子、基数及成熟标记
配套输入：首日注册用户数、次日登录注册用户数（公式及范围见定义表）</x:v>
      </x:c>
      <x:c r="I138" s="13" t="str">
        <x:v>核心经营总览；活跃与留存</x:v>
      </x:c>
      <x:c r="J138" s="13" t="str">
        <x:v>补齐并接入BI后：
1）各起始日批次数值及趋势
2）按已成熟批次查看汇总人数／留存结果；BI对比相同观察天数的两期批次</x:v>
      </x:c>
    </x:row>
    <x:row r="139" ht="126" customHeight="1">
      <x:c r="A139" s="13"/>
      <x:c r="B139" s="13"/>
      <x:c r="C139" s="24" t="str">
        <x:v>未支持</x:v>
      </x:c>
      <x:c r="D139" s="13" t="str">
        <x:v>1. 总体
2. 内部导量 / 自然新增；起始日为Android / 起始日为iOS；来源渠道</x:v>
      </x:c>
      <x:c r="E139" s="13" t="str">
        <x:v>1. 多批次留存人数、同观察天数的批次对比
2. 单批用户（起始日）、各起始日趋势、多批次留存人数</x:v>
      </x:c>
      <x:c r="F139" s="13" t="str">
        <x:v>1）补已到观察日的同批用户分子、基数及成熟标记；提供两期同观察天数的批次分子、基数及成熟标记
2）指定次日／第3／7／30日，分别返回结果；补已到观察日的同批用户分子、基数及成熟标记</x:v>
      </x:c>
      <x:c r="G139" s="13" t="str">
        <x:v>留存天数：1／3／7／30，分别选择；用户起始日期；内部导量；自然新增；起始日客户端：Android；起始日客户端：iOS；来源渠道</x:v>
      </x:c>
      <x:c r="H139" s="13" t="str">
        <x:v>各起始日批次的分子、基数、观察日、成熟及完整性标记
两期同观察天数的分子、基数及成熟标记
起始日、观察日、同批用户分子与基数、是否已到观察日
配套输入：首日注册用户数、次日登录注册用户数（公式及范围见定义表）</x:v>
      </x:c>
      <x:c r="I139" s="13" t="str">
        <x:v>核心经营总览；活跃与留存</x:v>
      </x:c>
      <x:c r="J139" s="13" t="str">
        <x:v>补齐并接入BI后：
1）按已成熟批次查看汇总人数／留存结果；BI对比相同观察天数的两期批次
2）各起始日批次数值及趋势；按已成熟批次查看汇总人数／留存结果</x:v>
      </x:c>
    </x:row>
    <x:row r="140" ht="62" customHeight="1">
      <x:c r="A140" s="14" t="str">
        <x:v>DM001</x:v>
      </x:c>
      <x:c r="B140" s="14" t="str">
        <x:v>累计活跃人天</x:v>
      </x:c>
      <x:c r="C140" s="26" t="str">
        <x:v>部分支持</x:v>
      </x:c>
      <x:c r="D140" s="14" t="str">
        <x:v>总体；Android / iOS；老用户</x:v>
      </x:c>
      <x:c r="E140" s="14" t="str">
        <x:v>逐日趋势、区间合计</x:v>
      </x:c>
      <x:c r="F140" s="14" t="str">
        <x:v>复用已有每日人数，BI累计人天；无需新增统计接口</x:v>
      </x:c>
      <x:c r="G140" s="14" t="str">
        <x:v>客户端：Android；客户端：iOS；用户类型：老用户</x:v>
      </x:c>
      <x:c r="H140" s="14" t="str">
        <x:v>数值
每日去重人数、日期及完整性标记</x:v>
      </x:c>
      <x:c r="I140" s="14" t="str">
        <x:v>核心经营总览；视频消费表现</x:v>
      </x:c>
      <x:c r="J140" s="14" t="str">
        <x:v>补齐并接入BI后：
按对应范围查看逐日趋势；BI累计每日人数，得到所选区间人天</x:v>
      </x:c>
    </x:row>
    <x:row r="141" ht="62" customHeight="1">
      <x:c r="A141" s="13"/>
      <x:c r="B141" s="13"/>
      <x:c r="C141" s="24" t="str">
        <x:v>未支持</x:v>
      </x:c>
      <x:c r="D141" s="13" t="str">
        <x:v>新用户；新增来源；来源渠道</x:v>
      </x:c>
      <x:c r="E141" s="13" t="str">
        <x:v>逐日趋势、区间合计</x:v>
      </x:c>
      <x:c r="F141" s="13" t="str">
        <x:v>补对应维度的完整每日数据（含日期与完整性）</x:v>
      </x:c>
      <x:c r="G141" s="13" t="str">
        <x:v>用户类型：新用户；新增来源；来源渠道</x:v>
      </x:c>
      <x:c r="H141" s="13" t="str">
        <x:v>数值
每日去重人数、日期及完整性标记</x:v>
      </x:c>
      <x:c r="I141" s="13" t="str">
        <x:v>视频消费表现</x:v>
      </x:c>
      <x:c r="J141" s="13" t="str">
        <x:v>补齐并接入BI后：
按对应范围查看逐日趋势；BI累计每日人数，得到所选区间人天</x:v>
      </x:c>
    </x:row>
    <x:row r="142" ht="62" customHeight="1">
      <x:c r="A142" s="14" t="str">
        <x:v>DM002</x:v>
      </x:c>
      <x:c r="B142" s="14" t="str">
        <x:v>累计观影人天</x:v>
      </x:c>
      <x:c r="C142" s="26" t="str">
        <x:v>部分支持</x:v>
      </x:c>
      <x:c r="D142" s="14" t="str">
        <x:v>总体；Android / iOS；新用户 / 老用户</x:v>
      </x:c>
      <x:c r="E142" s="14" t="str">
        <x:v>逐日趋势、区间合计</x:v>
      </x:c>
      <x:c r="F142" s="14" t="str">
        <x:v>复用已有每日人数，BI累计人天；无需新增统计接口</x:v>
      </x:c>
      <x:c r="G142" s="14" t="str">
        <x:v>客户端：Android；客户端：iOS；用户类型：新用户；用户类型：老用户</x:v>
      </x:c>
      <x:c r="H142" s="14" t="str">
        <x:v>数值
每日去重人数、日期及完整性标记</x:v>
      </x:c>
      <x:c r="I142" s="14" t="str">
        <x:v>核心经营总览；视频消费表现</x:v>
      </x:c>
      <x:c r="J142" s="14" t="str">
        <x:v>补齐并接入BI后：
按对应范围查看逐日趋势；BI累计每日人数，得到所选区间人天</x:v>
      </x:c>
    </x:row>
    <x:row r="143" ht="62" customHeight="1">
      <x:c r="A143" s="13"/>
      <x:c r="B143" s="13"/>
      <x:c r="C143" s="24" t="str">
        <x:v>未支持</x:v>
      </x:c>
      <x:c r="D143" s="13" t="str">
        <x:v>新增来源；来源渠道</x:v>
      </x:c>
      <x:c r="E143" s="13" t="str">
        <x:v>逐日趋势、区间合计</x:v>
      </x:c>
      <x:c r="F143" s="13" t="str">
        <x:v>补对应维度的完整每日数据（含日期与完整性）</x:v>
      </x:c>
      <x:c r="G143" s="13" t="str">
        <x:v>新增来源；来源渠道</x:v>
      </x:c>
      <x:c r="H143" s="13" t="str">
        <x:v>数值
每日去重人数、日期及完整性标记</x:v>
      </x:c>
      <x:c r="I143" s="13" t="str">
        <x:v>视频消费表现</x:v>
      </x:c>
      <x:c r="J143" s="13" t="str">
        <x:v>补齐并接入BI后：
按对应范围查看逐日趋势；BI累计每日人数，得到所选区间人天</x:v>
      </x:c>
    </x:row>
    <x:row r="144" ht="78" customHeight="1">
      <x:c r="A144" s="14" t="str">
        <x:v>all_active_d1_return_rate</x:v>
      </x:c>
      <x:c r="B144" s="14" t="str">
        <x:v>整体活跃次日回访率</x:v>
      </x:c>
      <x:c r="C144" s="28" t="str">
        <x:v>未支持</x:v>
      </x:c>
      <x:c r="D144" s="14" t="str">
        <x:v>总体；首次观看当天的客户端；版本 / 版本未知；版本 × (Android / iOS)</x:v>
      </x:c>
      <x:c r="E144" s="14" t="str">
        <x:v>单批用户（起始日）、各起始日趋势、多批次留存／复访率</x:v>
      </x:c>
      <x:c r="F144" s="14" t="str">
        <x:v>按指标定义补单日查询；按指标定义补逐日查询；补已到观察日的同批用户分子、基数及成熟标记；补对应维度的完整每日数据（含日期与完整性）</x:v>
      </x:c>
      <x:c r="G144" s="14" t="str">
        <x:v>用户起始日期；首次观看当天的客户端；版本；版本未知；客户端：Android；客户端：iOS</x:v>
      </x:c>
      <x:c r="H144" s="14" t="str">
        <x:v>起始日、观察日、同批用户分子与基数、是否已到观察日
各起始日批次的分子、基数、观察日、成熟及完整性标记</x:v>
      </x:c>
      <x:c r="I144" s="14" t="str">
        <x:v>活跃与留存；产品体验与启动质量</x:v>
      </x:c>
      <x:c r="J144" s="14" t="str">
        <x:v>补齐并接入BI后：
各起始日批次数值及趋势；按已成熟批次查看汇总人数／留存结果</x:v>
      </x:c>
    </x:row>
    <x:row r="145" ht="62" customHeight="1">
      <x:c r="A145" s="14" t="str">
        <x:v>display:M008</x:v>
      </x:c>
      <x:c r="B145" s="14" t="str">
        <x:v>新增Android:iOS比值</x:v>
      </x:c>
      <x:c r="C145" s="22" t="str">
        <x:v>支持</x:v>
      </x:c>
      <x:c r="D145" s="14" t="str">
        <x:v>Android与iOS比值</x:v>
      </x:c>
      <x:c r="E145" s="14" t="str">
        <x:v>单日、逐日趋势、日对比</x:v>
      </x:c>
      <x:c r="F145" s="14" t="str">
        <x:v>现有数据与BI计算已支持，无需新增接口；待业务验数。</x:v>
      </x:c>
      <x:c r="G145" s="14" t="str">
        <x:v>Android与iOS比值</x:v>
      </x:c>
      <x:c r="H145" s="14" t="str">
        <x:v>数值
当前日、前一天、上周同日的日期及数值</x:v>
      </x:c>
      <x:c r="I145" s="14" t="str">
        <x:v>核心经营总览</x:v>
      </x:c>
      <x:c r="J145" s="14" t="str">
        <x:v>已支持：
按对应范围查看每日值及趋势；BI计算较前一天、上周同日的涨跌</x:v>
      </x:c>
    </x:row>
    <x:row r="146" ht="46" customHeight="1">
      <x:c r="A146" s="13"/>
      <x:c r="B146" s="13"/>
      <x:c r="C146" s="24" t="str">
        <x:v>未支持</x:v>
      </x:c>
      <x:c r="D146" s="13" t="str">
        <x:v>Android与iOS比值</x:v>
      </x:c>
      <x:c r="E146" s="13" t="str">
        <x:v>区间转化率／比率</x:v>
      </x:c>
      <x:c r="F146" s="13" t="str">
        <x:v>补同范围区间分子、分母；可累加量复用日值，比率由BI计算</x:v>
      </x:c>
      <x:c r="G146" s="13" t="str">
        <x:v>Android与iOS比值</x:v>
      </x:c>
      <x:c r="H146" s="13" t="str">
        <x:v>同范围、同口径的区间分子和分母（可累加量可返回日值）</x:v>
      </x:c>
      <x:c r="I146" s="13" t="str">
        <x:v>核心经营总览</x:v>
      </x:c>
      <x:c r="J146" s="13" t="str">
        <x:v>补齐并接入BI后：
BI用同范围分子÷分母计算区间比率</x:v>
      </x:c>
    </x:row>
    <x:row r="147" ht="62" customHeight="1">
      <x:c r="A147" s="14" t="str">
        <x:v>display:M016</x:v>
      </x:c>
      <x:c r="B147" s="14" t="str">
        <x:v>日活Android:iOS比值</x:v>
      </x:c>
      <x:c r="C147" s="22" t="str">
        <x:v>支持</x:v>
      </x:c>
      <x:c r="D147" s="14" t="str">
        <x:v>Android与iOS比值</x:v>
      </x:c>
      <x:c r="E147" s="14" t="str">
        <x:v>单日、逐日趋势、日对比</x:v>
      </x:c>
      <x:c r="F147" s="14" t="str">
        <x:v>现有数据与BI计算已支持，无需新增接口；待业务验数。</x:v>
      </x:c>
      <x:c r="G147" s="14" t="str">
        <x:v>Android与iOS比值</x:v>
      </x:c>
      <x:c r="H147" s="14" t="str">
        <x:v>数值
当前日、前一天、上周同日的日期及数值</x:v>
      </x:c>
      <x:c r="I147" s="14" t="str">
        <x:v>核心经营总览</x:v>
      </x:c>
      <x:c r="J147" s="14" t="str">
        <x:v>已支持：
按对应范围查看每日值及趋势；BI计算较前一天、上周同日的涨跌</x:v>
      </x:c>
    </x:row>
    <x:row r="148" ht="46" customHeight="1">
      <x:c r="A148" s="13"/>
      <x:c r="B148" s="13"/>
      <x:c r="C148" s="24" t="str">
        <x:v>未支持</x:v>
      </x:c>
      <x:c r="D148" s="13" t="str">
        <x:v>Android与iOS比值</x:v>
      </x:c>
      <x:c r="E148" s="13" t="str">
        <x:v>区间转化率／比率</x:v>
      </x:c>
      <x:c r="F148" s="13" t="str">
        <x:v>补同范围区间分子、分母；可累加量复用日值，比率由BI计算</x:v>
      </x:c>
      <x:c r="G148" s="13" t="str">
        <x:v>Android与iOS比值</x:v>
      </x:c>
      <x:c r="H148" s="13" t="str">
        <x:v>同范围、同口径的区间分子和分母（可累加量可返回日值）</x:v>
      </x:c>
      <x:c r="I148" s="13" t="str">
        <x:v>核心经营总览</x:v>
      </x:c>
      <x:c r="J148" s="13" t="str">
        <x:v>补齐并接入BI后：
BI用同范围分子÷分母计算区间比率</x:v>
      </x:c>
    </x:row>
    <x:row r="149" ht="78" customHeight="1">
      <x:c r="A149" s="14" t="str">
        <x:v>effective_any_return_rate</x:v>
      </x:c>
      <x:c r="B149" s="14" t="str">
        <x:v>有效观影批次整体回访率</x:v>
      </x:c>
      <x:c r="C149" s="28" t="str">
        <x:v>未支持</x:v>
      </x:c>
      <x:c r="D149" s="14" t="str">
        <x:v>有效观看规则版本；(起始日为Android / 起始日为iOS / 起始日客户端未知 / 起始日为Web) × 有效观看规则版本；有效观看规则版本 × 次日／第3日／第7日</x:v>
      </x:c>
      <x:c r="E149" s="14" t="str">
        <x:v>单批用户（起始日）、各起始日趋势、多批次留存／复访率</x:v>
      </x:c>
      <x:c r="F149" s="14" t="str">
        <x:v>补对应维度的完整每日数据（含日期与完整性）；补已到观察日的同批用户分子、基数及成熟标记</x:v>
      </x:c>
      <x:c r="G149" s="14" t="str">
        <x:v>用户起始日期；有效观看规则版本；起始日客户端：Android；起始日客户端：iOS；起始日客户端未知；起始日客户端：Web；次日／第3日／第7日</x:v>
      </x:c>
      <x:c r="H149" s="14" t="str">
        <x:v>起始日、观察日、同批用户分子与基数、是否已到观察日
各起始日批次的分子、基数、观察日、成熟及完整性标记</x:v>
      </x:c>
      <x:c r="I149" s="14" t="str">
        <x:v>视频消费表现</x:v>
      </x:c>
      <x:c r="J149" s="14" t="str">
        <x:v>补齐并接入BI后：
各起始日批次数值及趋势；按已成熟批次查看汇总人数／留存结果</x:v>
      </x:c>
    </x:row>
    <x:row r="150" ht="78" customHeight="1">
      <x:c r="A150" s="14" t="str">
        <x:v>effective_not_returned_users</x:v>
      </x:c>
      <x:c r="B150" s="14" t="str">
        <x:v>未回访用户数</x:v>
      </x:c>
      <x:c r="C150" s="28" t="str">
        <x:v>未支持</x:v>
      </x:c>
      <x:c r="D150" s="14" t="str">
        <x:v>有效观看规则版本；(起始日为Android / 起始日为iOS / 起始日客户端未知 / 起始日为Web) × 有效观看规则版本；有效观看规则版本 × 次日／第3日／第7日</x:v>
      </x:c>
      <x:c r="E150" s="14" t="str">
        <x:v>单批用户（起始日）、各起始日趋势、多批次留存／复访率</x:v>
      </x:c>
      <x:c r="F150" s="14" t="str">
        <x:v>补对应维度的完整每日数据（含日期与完整性）；补已到观察日的同批用户分子、基数及成熟标记</x:v>
      </x:c>
      <x:c r="G150" s="14" t="str">
        <x:v>用户起始日期；有效观看规则版本；起始日客户端：Android；起始日客户端：iOS；起始日客户端未知；起始日客户端：Web；次日／第3日／第7日</x:v>
      </x:c>
      <x:c r="H150" s="14" t="str">
        <x:v>起始日、观察日、同批用户分子与基数、是否已到观察日
各起始日批次的分子、基数、观察日、成熟及完整性标记</x:v>
      </x:c>
      <x:c r="I150" s="14" t="str">
        <x:v>视频消费表现</x:v>
      </x:c>
      <x:c r="J150" s="14" t="str">
        <x:v>补齐并接入BI后：
各起始日批次数值及趋势；按已成熟批次查看汇总人数／留存结果</x:v>
      </x:c>
    </x:row>
    <x:row r="151" ht="78" customHeight="1">
      <x:c r="A151" s="14" t="str">
        <x:v>effective_returned_without_watch_users</x:v>
      </x:c>
      <x:c r="B151" s="14" t="str">
        <x:v>回访未有效观看用户数</x:v>
      </x:c>
      <x:c r="C151" s="28" t="str">
        <x:v>未支持</x:v>
      </x:c>
      <x:c r="D151" s="14" t="str">
        <x:v>有效观看规则版本；(起始日为Android / 起始日为iOS / 起始日客户端未知 / 起始日为Web) × 有效观看规则版本；有效观看规则版本 × 次日／第3日／第7日</x:v>
      </x:c>
      <x:c r="E151" s="14" t="str">
        <x:v>单批用户（起始日）、各起始日趋势、多批次留存／复访率</x:v>
      </x:c>
      <x:c r="F151" s="14" t="str">
        <x:v>补对应维度的完整每日数据（含日期与完整性）；补已到观察日的同批用户分子、基数及成熟标记</x:v>
      </x:c>
      <x:c r="G151" s="14" t="str">
        <x:v>用户起始日期；有效观看规则版本；起始日客户端：Android；起始日客户端：iOS；起始日客户端未知；起始日客户端：Web；次日／第3日／第7日</x:v>
      </x:c>
      <x:c r="H151" s="14" t="str">
        <x:v>起始日、观察日、同批用户分子与基数、是否已到观察日
各起始日批次的分子、基数、观察日、成熟及完整性标记</x:v>
      </x:c>
      <x:c r="I151" s="14" t="str">
        <x:v>视频消费表现</x:v>
      </x:c>
      <x:c r="J151" s="14" t="str">
        <x:v>补齐并接入BI后：
各起始日批次数值及趋势；按已成熟批次查看汇总人数／留存结果</x:v>
      </x:c>
    </x:row>
    <x:row r="152" ht="62" customHeight="1">
      <x:c r="A152" s="14" t="str">
        <x:v>effective_watch_duration</x:v>
      </x:c>
      <x:c r="B152" s="14" t="str">
        <x:v>有效观影总时长</x:v>
      </x:c>
      <x:c r="C152" s="28" t="str">
        <x:v>未支持</x:v>
      </x:c>
      <x:c r="D152" s="14" t="str">
        <x:v>总体</x:v>
      </x:c>
      <x:c r="E152" s="14" t="str">
        <x:v>单日、逐日趋势、区间合计、日均</x:v>
      </x:c>
      <x:c r="F152" s="14" t="str">
        <x:v>按指标定义补单日查询；按指标定义补逐日查询；补对应维度的完整每日数据（含日期与完整性）</x:v>
      </x:c>
      <x:c r="G152" s="14" t="str">
        <x:v>业务平台及日期</x:v>
      </x:c>
      <x:c r="H152" s="14" t="str">
        <x:v>数值
逐日数值、日期及完整性标记（真实0与缺失分开）</x:v>
      </x:c>
      <x:c r="I152" s="14" t="str">
        <x:v>视频消费表现</x:v>
      </x:c>
      <x:c r="J152" s="14" t="str">
        <x:v>补齐并接入BI后：
按对应范围查看每日值及趋势；BI累加每日值，得到所选区间合计；BI算日均，缺失日期不补0</x:v>
      </x:c>
    </x:row>
    <x:row r="153" ht="94" customHeight="1">
      <x:c r="A153" s="14" t="str">
        <x:v>function_penetration</x:v>
      </x:c>
      <x:c r="B153" s="14" t="str">
        <x:v>功能使用渗透率</x:v>
      </x:c>
      <x:c r="C153" s="28" t="str">
        <x:v>未支持</x:v>
      </x:c>
      <x:c r="D153" s="14" t="str">
        <x:v>功能；(内部导量 / 自然新增) × 功能；功能 × (Android / iOS / 客户端未知 / Web)；功能 × (新用户 / 老用户)；功能 × (Android / iOS / 客户端未知 / Web) × (新用户 / 老用户)</x:v>
      </x:c>
      <x:c r="E153" s="14" t="str">
        <x:v>单日、逐日趋势、区间转化率／比率</x:v>
      </x:c>
      <x:c r="F153" s="14" t="str">
        <x:v>补对应维度的完整每日数据（含日期与完整性）；补同范围区间分子、分母；可累加量复用日值，比率由BI计算</x:v>
      </x:c>
      <x:c r="G153" s="14" t="str">
        <x:v>功能；内部导量；自然新增；客户端：Android；客户端：iOS；客户端：客户端未知；客户端：Web；用户类型：新用户；用户类型：老用户</x:v>
      </x:c>
      <x:c r="H153" s="14" t="str">
        <x:v>数值、分子、分母
同范围、同口径的区间分子和分母（可累加量可返回日值）
配套输入：同范围活跃用户基数、功能使用用户数（公式及范围见定义表）</x:v>
      </x:c>
      <x:c r="I153" s="14" t="str">
        <x:v>功能使用概览</x:v>
      </x:c>
      <x:c r="J153" s="14" t="str">
        <x:v>补齐并接入BI后：
按对应范围查看每日值及趋势；BI用同范围分子÷分母计算区间比率</x:v>
      </x:c>
    </x:row>
    <x:row r="154" ht="62" customHeight="1">
      <x:c r="A154" s="14" t="str">
        <x:v>M114_daily_view</x:v>
      </x:c>
      <x:c r="B154" s="14" t="str">
        <x:v>充值成功率（现有日报视图）</x:v>
      </x:c>
      <x:c r="C154" s="22" t="str">
        <x:v>支持</x:v>
      </x:c>
      <x:c r="D154" s="14" t="str">
        <x:v>总体；微信 / 支付宝</x:v>
      </x:c>
      <x:c r="E154" s="14" t="str">
        <x:v>单日、逐日趋势、日对比</x:v>
      </x:c>
      <x:c r="F154" s="14" t="str">
        <x:v>现有数据与BI计算已支持，无需新增接口；待业务验数。</x:v>
      </x:c>
      <x:c r="G154" s="14" t="str">
        <x:v>支付方式：微信；支付方式：支付宝</x:v>
      </x:c>
      <x:c r="H154" s="14" t="str">
        <x:v>数值、分子、分母
当前日、前一天、上周同日的日期及数值</x:v>
      </x:c>
      <x:c r="I154" s="14" t="str">
        <x:v>核心经营总览；支付链路与到账质量</x:v>
      </x:c>
      <x:c r="J154" s="14" t="str">
        <x:v>已支持：
按对应范围查看每日值及趋势；BI计算较前一天、上周同日的涨跌</x:v>
      </x:c>
    </x:row>
    <x:row r="155" ht="46" customHeight="1">
      <x:c r="A155" s="13"/>
      <x:c r="B155" s="13"/>
      <x:c r="C155" s="24" t="str">
        <x:v>未支持</x:v>
      </x:c>
      <x:c r="D155" s="13" t="str">
        <x:v>总体；微信 / 支付宝</x:v>
      </x:c>
      <x:c r="E155" s="13" t="str">
        <x:v>区间转化率／比率</x:v>
      </x:c>
      <x:c r="F155" s="13" t="str">
        <x:v>补同范围区间分子、分母；可累加量复用日值，比率由BI计算</x:v>
      </x:c>
      <x:c r="G155" s="13" t="str">
        <x:v>支付方式：微信；支付方式：支付宝</x:v>
      </x:c>
      <x:c r="H155" s="13" t="str">
        <x:v>同范围、同口径的区间分子和分母（可累加量可返回日值）</x:v>
      </x:c>
      <x:c r="I155" s="13" t="str">
        <x:v>核心经营总览；支付链路与到账质量</x:v>
      </x:c>
      <x:c r="J155" s="13" t="str">
        <x:v>补齐并接入BI后：
BI用同范围分子÷分母计算区间比率</x:v>
      </x:c>
    </x:row>
    <x:row r="156" ht="78" customHeight="1">
      <x:c r="A156" s="14" t="str">
        <x:v>navigation_clicks</x:v>
      </x:c>
      <x:c r="B156" s="14" t="str">
        <x:v>底部导航点击次数</x:v>
      </x:c>
      <x:c r="C156" s="28" t="str">
        <x:v>未支持</x:v>
      </x:c>
      <x:c r="D156" s="14" t="str">
        <x:v>底部导航Tab</x:v>
      </x:c>
      <x:c r="E156" s="14" t="str">
        <x:v>单日、逐日趋势、区间合计、日均</x:v>
      </x:c>
      <x:c r="F156" s="14" t="str">
        <x:v>补对应维度的完整每日数据（含日期与完整性）</x:v>
      </x:c>
      <x:c r="G156" s="14" t="str">
        <x:v>底部导航Tab</x:v>
      </x:c>
      <x:c r="H156" s="14" t="str">
        <x:v>Tab稳定ID、名称、位置及逐Tab数据状态；当前期与对比期分别返回
数值
逐日数值、日期及完整性标记（真实0与缺失分开）</x:v>
      </x:c>
      <x:c r="I156" s="14" t="str">
        <x:v>功能使用概览</x:v>
      </x:c>
      <x:c r="J156" s="14" t="str">
        <x:v>补齐并接入BI后：
按对应范围查看每日值及趋势；BI累加每日值，得到所选区间合计；BI算日均，缺失日期不补0；BI复用两期同口径输入，对比所选周期与对比周期</x:v>
      </x:c>
    </x:row>
    <x:row r="157" ht="110" customHeight="1">
      <x:c r="A157" s="14" t="str">
        <x:v>navigation_frequency</x:v>
      </x:c>
      <x:c r="B157" s="14" t="str">
        <x:v>底部导航使用者人均点击次数</x:v>
      </x:c>
      <x:c r="C157" s="28" t="str">
        <x:v>未支持</x:v>
      </x:c>
      <x:c r="D157" s="14" t="str">
        <x:v>底部导航Tab</x:v>
      </x:c>
      <x:c r="E157" s="14" t="str">
        <x:v>单日、逐日趋势、区间人均值</x:v>
      </x:c>
      <x:c r="F157" s="14" t="str">
        <x:v>补对应维度的完整每日数据（含日期与完整性）；补区间去重人数及对应总量；可累加总量复用日值，人均由BI计算</x:v>
      </x:c>
      <x:c r="G157" s="14" t="str">
        <x:v>底部导航Tab</x:v>
      </x:c>
      <x:c r="H157" s="14" t="str">
        <x:v>Tab稳定ID、名称、位置及逐Tab数据状态；当前期与对比期分别返回
同日总量、同日去重人数（已有口径一致的人均值可复用）
同范围区间总量、区间去重人数（可累加总量可返回日值）</x:v>
      </x:c>
      <x:c r="I157" s="14" t="str">
        <x:v>功能使用概览</x:v>
      </x:c>
      <x:c r="J157" s="14" t="str">
        <x:v>补齐并接入BI后：
按对应范围查看每日值及趋势；BI用区间总量÷区间去重人数计算人均值；BI复用两期同口径输入，对比所选周期与对比周期</x:v>
      </x:c>
    </x:row>
    <x:row r="158" ht="94" customHeight="1">
      <x:c r="A158" s="14" t="str">
        <x:v>navigation_users</x:v>
      </x:c>
      <x:c r="B158" s="14" t="str">
        <x:v>底部导航点击用户数</x:v>
      </x:c>
      <x:c r="C158" s="28" t="str">
        <x:v>未支持</x:v>
      </x:c>
      <x:c r="D158" s="14" t="str">
        <x:v>底部导航Tab</x:v>
      </x:c>
      <x:c r="E158" s="14" t="str">
        <x:v>单日、逐日趋势、区间去重人数、日均</x:v>
      </x:c>
      <x:c r="F158" s="14" t="str">
        <x:v>补对应维度的完整每日数据（含日期与完整性）；补区间用户去重查询；不能累加每日人数</x:v>
      </x:c>
      <x:c r="G158" s="14" t="str">
        <x:v>底部导航Tab</x:v>
      </x:c>
      <x:c r="H158" s="14" t="str">
        <x:v>Tab稳定ID、名称、位置及逐Tab数据状态；当前期与对比期分别返回
数值
区间去重人数（同一用户整个区间只计一次）
逐日数值、日期及完整性标记（真实0与缺失分开）</x:v>
      </x:c>
      <x:c r="I158" s="14" t="str">
        <x:v>功能使用概览</x:v>
      </x:c>
      <x:c r="J158" s="14" t="str">
        <x:v>补齐并接入BI后：
按对应范围查看每日值及趋势；整段时间去重人数，同一用户只计一次；BI算日均，缺失日期不补0；BI复用两期同口径输入，对比所选周期与对比周期</x:v>
      </x:c>
    </x:row>
    <x:row r="159" ht="62" customHeight="1">
      <x:c r="A159" s="14" t="str">
        <x:v>playback_failure_result</x:v>
      </x:c>
      <x:c r="B159" s="14" t="str">
        <x:v>播放失败结果（次数/原因待正式指标引用）</x:v>
      </x:c>
      <x:c r="C159" s="28" t="str">
        <x:v>未支持</x:v>
      </x:c>
      <x:c r="D159" s="14" t="str">
        <x:v>总体；失败原因；视频类型；版本</x:v>
      </x:c>
      <x:c r="E159" s="14" t="str">
        <x:v>单日、逐日趋势、区间合计、日均</x:v>
      </x:c>
      <x:c r="F159" s="14" t="str">
        <x:v>按指标定义补单日查询；按指标定义补逐日查询；补对应维度的完整每日数据（含日期与完整性）</x:v>
      </x:c>
      <x:c r="G159" s="14" t="str">
        <x:v>失败原因；视频类型；版本</x:v>
      </x:c>
      <x:c r="H159" s="14" t="str">
        <x:v>数值
逐日数值、日期及完整性标记（真实0与缺失分开）</x:v>
      </x:c>
      <x:c r="I159" s="14" t="str">
        <x:v>播放与观看质量</x:v>
      </x:c>
      <x:c r="J159" s="14" t="str">
        <x:v>补齐并接入BI后：
按对应范围查看每日值及趋势；BI累加每日值，得到所选区间合计；BI算日均，缺失日期不补0</x:v>
      </x:c>
    </x:row>
    <x:row r="160" ht="78" customHeight="1">
      <x:c r="A160" s="14" t="str">
        <x:v>recharge_amount_share</x:v>
      </x:c>
      <x:c r="B160" s="14" t="str">
        <x:v>分类充值金额占总充值金额比例</x:v>
      </x:c>
      <x:c r="C160" s="28" t="str">
        <x:v>未支持</x:v>
      </x:c>
      <x:c r="D160" s="14" t="str">
        <x:v>总体；Android / iOS / 客户端未知 / Web；新用户 / 老用户；VIP商品 / 金币商品</x:v>
      </x:c>
      <x:c r="E160" s="14" t="str">
        <x:v>单日、逐日趋势、区间转化率／比率</x:v>
      </x:c>
      <x:c r="F160" s="14" t="str">
        <x:v>按指标定义补单日查询；按指标定义补逐日查询；补同范围区间分子、分母；可累加量复用日值，比率由BI计算；补对应维度的完整每日数据（含日期与完整性）</x:v>
      </x:c>
      <x:c r="G160" s="14" t="str">
        <x:v>客户端：Android；客户端：iOS；客户端：客户端未知；客户端：Web；用户类型：新用户；用户类型：老用户；商品类型：VIP商品；商品类型：金币商品</x:v>
      </x:c>
      <x:c r="H160" s="14" t="str">
        <x:v>数值、分子、分母
同范围、同口径的区间分子和分母（可累加量可返回日值）</x:v>
      </x:c>
      <x:c r="I160" s="14" t="str">
        <x:v>会员与付费经营</x:v>
      </x:c>
      <x:c r="J160" s="14" t="str">
        <x:v>补齐并接入BI后：
按对应范围查看每日值及趋势；BI用同范围分子÷分母计算区间比率</x:v>
      </x:c>
    </x:row>
    <x:row r="161" ht="62" customHeight="1">
      <x:c r="A161" s="14" t="str">
        <x:v>search_result_clicked_requests</x:v>
      </x:c>
      <x:c r="B161" s="14" t="str">
        <x:v>有结果后产生内容点击的搜索数</x:v>
      </x:c>
      <x:c r="C161" s="28" t="str">
        <x:v>未支持</x:v>
      </x:c>
      <x:c r="D161" s="14" t="str">
        <x:v>总体；搜索词；搜索类型</x:v>
      </x:c>
      <x:c r="E161" s="14" t="str">
        <x:v>单日、逐日趋势、区间合计、日均</x:v>
      </x:c>
      <x:c r="F161" s="14" t="str">
        <x:v>按指标定义补单日查询；按指标定义补逐日查询；补对应维度的完整每日数据（含日期与完整性）</x:v>
      </x:c>
      <x:c r="G161" s="14" t="str">
        <x:v>搜索词；搜索类型</x:v>
      </x:c>
      <x:c r="H161" s="14" t="str">
        <x:v>数值
逐日数值、日期及完整性标记（真实0与缺失分开）</x:v>
      </x:c>
      <x:c r="I161" s="14" t="str">
        <x:v>内容发现与互动</x:v>
      </x:c>
      <x:c r="J161" s="14" t="str">
        <x:v>补齐并接入BI后：
按对应范围查看每日值及趋势；BI累加每日值，得到所选区间合计；BI算日均，缺失日期不补0</x:v>
      </x:c>
    </x:row>
    <x:row r="162" ht="62" customHeight="1">
      <x:c r="A162" s="14" t="str">
        <x:v>search_result_valid_requests</x:v>
      </x:c>
      <x:c r="B162" s="14" t="str">
        <x:v>成功返回结果的搜索数</x:v>
      </x:c>
      <x:c r="C162" s="28" t="str">
        <x:v>未支持</x:v>
      </x:c>
      <x:c r="D162" s="14" t="str">
        <x:v>总体；搜索词；搜索类型</x:v>
      </x:c>
      <x:c r="E162" s="14" t="str">
        <x:v>单日、逐日趋势、区间合计、日均</x:v>
      </x:c>
      <x:c r="F162" s="14" t="str">
        <x:v>按指标定义补单日查询；按指标定义补逐日查询；补对应维度的完整每日数据（含日期与完整性）</x:v>
      </x:c>
      <x:c r="G162" s="14" t="str">
        <x:v>搜索词；搜索类型</x:v>
      </x:c>
      <x:c r="H162" s="14" t="str">
        <x:v>数值
逐日数值、日期及完整性标记（真实0与缺失分开）</x:v>
      </x:c>
      <x:c r="I162" s="14" t="str">
        <x:v>内容发现与互动</x:v>
      </x:c>
      <x:c r="J162" s="14" t="str">
        <x:v>补齐并接入BI后：
按对应范围查看每日值及趋势；BI累加每日值，得到所选区间合计；BI算日均，缺失日期不补0</x:v>
      </x:c>
    </x:row>
    <x:row r="163" ht="62" customHeight="1">
      <x:c r="A163" s="14" t="str">
        <x:v>version_active_usage_rate</x:v>
      </x:c>
      <x:c r="B163" s="14" t="str">
        <x:v>版本使用率</x:v>
      </x:c>
      <x:c r="C163" s="28" t="str">
        <x:v>未支持</x:v>
      </x:c>
      <x:c r="D163" s="14" t="str">
        <x:v>版本 / 版本未知；版本 × (Android / iOS)</x:v>
      </x:c>
      <x:c r="E163" s="14" t="str">
        <x:v>单日、逐日趋势、区间转化率／比率</x:v>
      </x:c>
      <x:c r="F163" s="14" t="str">
        <x:v>补对应维度的完整每日数据（含日期与完整性）；补同范围区间分子、分母；可累加量复用日值，比率由BI计算</x:v>
      </x:c>
      <x:c r="G163" s="14" t="str">
        <x:v>版本；版本未知；客户端：Android；客户端：iOS</x:v>
      </x:c>
      <x:c r="H163" s="14" t="str">
        <x:v>数值、分子、分母
同范围、同口径的区间分子和分母（可累加量可返回日值）</x:v>
      </x:c>
      <x:c r="I163" s="14" t="str">
        <x:v>产品体验与启动质量</x:v>
      </x:c>
      <x:c r="J163" s="14" t="str">
        <x:v>补齐并接入BI后：
按对应范围查看每日值及趋势；BI用同范围分子÷分母计算区间比率</x:v>
      </x:c>
    </x:row>
    <x:row r="164" ht="62" customHeight="1">
      <x:c r="A164" s="14" t="str">
        <x:v>version_launch_share</x:v>
      </x:c>
      <x:c r="B164" s="14" t="str">
        <x:v>版本启动次数占比</x:v>
      </x:c>
      <x:c r="C164" s="28" t="str">
        <x:v>未支持</x:v>
      </x:c>
      <x:c r="D164" s="14" t="str">
        <x:v>版本 / 版本未知；版本 × (Android / iOS)</x:v>
      </x:c>
      <x:c r="E164" s="14" t="str">
        <x:v>单日、逐日趋势、区间转化率／比率</x:v>
      </x:c>
      <x:c r="F164" s="14" t="str">
        <x:v>补对应维度的完整每日数据（含日期与完整性）；补同范围区间分子、分母；可累加量复用日值，比率由BI计算</x:v>
      </x:c>
      <x:c r="G164" s="14" t="str">
        <x:v>版本；版本未知；客户端：Android；客户端：iOS</x:v>
      </x:c>
      <x:c r="H164" s="14" t="str">
        <x:v>数值、分子、分母
同范围、同口径的区间分子和分母（可累加量可返回日值）</x:v>
      </x:c>
      <x:c r="I164" s="14" t="str">
        <x:v>产品体验与启动质量</x:v>
      </x:c>
      <x:c r="J164" s="14" t="str">
        <x:v>补齐并接入BI后：
按对应范围查看每日值及趋势；BI用同范围分子÷分母计算区间比率</x:v>
      </x:c>
    </x:row>
    <x:row r="165" ht="62" customHeight="1">
      <x:c r="A165" s="14" t="str">
        <x:v>video_eligible_exposures</x:v>
      </x:c>
      <x:c r="B165" s="14" t="str">
        <x:v>视频合格曝光数</x:v>
      </x:c>
      <x:c r="C165" s="28" t="str">
        <x:v>未支持</x:v>
      </x:c>
      <x:c r="D165" s="14" t="str">
        <x:v>总体；列表；页面；位置</x:v>
      </x:c>
      <x:c r="E165" s="14" t="str">
        <x:v>单日、逐日趋势、区间合计、日均</x:v>
      </x:c>
      <x:c r="F165" s="14" t="str">
        <x:v>按指标定义补单日查询；按指标定义补逐日查询；补对应维度的完整每日数据（含日期与完整性）</x:v>
      </x:c>
      <x:c r="G165" s="14" t="str">
        <x:v>列表；页面；位置</x:v>
      </x:c>
      <x:c r="H165" s="14" t="str">
        <x:v>数值
逐日数值、日期及完整性标记（真实0与缺失分开）</x:v>
      </x:c>
      <x:c r="I165" s="14" t="str">
        <x:v>内容发现与互动</x:v>
      </x:c>
      <x:c r="J165" s="14" t="str">
        <x:v>补齐并接入BI后：
按对应范围查看每日值及趋势；BI累加每日值，得到所选区间合计；BI算日均，缺失日期不补0</x:v>
      </x:c>
    </x:row>
    <x:row r="166" ht="62" customHeight="1">
      <x:c r="A166" s="14" t="str">
        <x:v>video_matched_clicks</x:v>
      </x:c>
      <x:c r="B166" s="14" t="str">
        <x:v>匹配合格曝光的视频点击数</x:v>
      </x:c>
      <x:c r="C166" s="28" t="str">
        <x:v>未支持</x:v>
      </x:c>
      <x:c r="D166" s="14" t="str">
        <x:v>总体；列表；页面；位置</x:v>
      </x:c>
      <x:c r="E166" s="14" t="str">
        <x:v>单日、逐日趋势、区间合计、日均</x:v>
      </x:c>
      <x:c r="F166" s="14" t="str">
        <x:v>按指标定义补单日查询；按指标定义补逐日查询；补对应维度的完整每日数据（含日期与完整性）</x:v>
      </x:c>
      <x:c r="G166" s="14" t="str">
        <x:v>列表；页面；位置</x:v>
      </x:c>
      <x:c r="H166" s="14" t="str">
        <x:v>数值
逐日数值、日期及完整性标记（真实0与缺失分开）</x:v>
      </x:c>
      <x:c r="I166" s="14" t="str">
        <x:v>内容发现与互动</x:v>
      </x:c>
      <x:c r="J166" s="14" t="str">
        <x:v>补齐并接入BI后：
按对应范围查看每日值及趋势；BI累加每日值，得到所选区间合计；BI算日均，缺失日期不补0</x:v>
      </x:c>
    </x:row>
  </x:sheetData>
  <x:mergeCells>
    <x:mergeCell ref="A2:H2"/>
    <x:mergeCell ref="A3:H3"/>
    <x:mergeCell ref="A5:H5"/>
    <x:mergeCell ref="A8:A9"/>
    <x:mergeCell ref="B8:B9"/>
    <x:mergeCell ref="A10:A11"/>
    <x:mergeCell ref="B10:B11"/>
    <x:mergeCell ref="A12:A13"/>
    <x:mergeCell ref="B12:B13"/>
    <x:mergeCell ref="A14:A15"/>
    <x:mergeCell ref="B14:B15"/>
    <x:mergeCell ref="A16:A17"/>
    <x:mergeCell ref="B16:B17"/>
    <x:mergeCell ref="A18:A19"/>
    <x:mergeCell ref="B18:B19"/>
    <x:mergeCell ref="A20:A21"/>
    <x:mergeCell ref="B20:B21"/>
    <x:mergeCell ref="A23:A24"/>
    <x:mergeCell ref="B23:B24"/>
    <x:mergeCell ref="A26:A28"/>
    <x:mergeCell ref="B26:B28"/>
    <x:mergeCell ref="A29:A31"/>
    <x:mergeCell ref="B29:B31"/>
    <x:mergeCell ref="A32:A34"/>
    <x:mergeCell ref="B32:B34"/>
    <x:mergeCell ref="A35:A37"/>
    <x:mergeCell ref="B35:B37"/>
    <x:mergeCell ref="A38:A39"/>
    <x:mergeCell ref="B38:B39"/>
    <x:mergeCell ref="A41:A42"/>
    <x:mergeCell ref="B41:B42"/>
    <x:mergeCell ref="A64:A65"/>
    <x:mergeCell ref="B64:B65"/>
    <x:mergeCell ref="A66:A68"/>
    <x:mergeCell ref="B66:B68"/>
    <x:mergeCell ref="A69:A70"/>
    <x:mergeCell ref="B69:B70"/>
    <x:mergeCell ref="A72:A73"/>
    <x:mergeCell ref="B72:B73"/>
    <x:mergeCell ref="A74:A75"/>
    <x:mergeCell ref="B74:B75"/>
    <x:mergeCell ref="A76:A77"/>
    <x:mergeCell ref="B76:B77"/>
    <x:mergeCell ref="A78:A79"/>
    <x:mergeCell ref="B78:B79"/>
    <x:mergeCell ref="A80:A81"/>
    <x:mergeCell ref="B80:B81"/>
    <x:mergeCell ref="A89:A90"/>
    <x:mergeCell ref="B89:B90"/>
    <x:mergeCell ref="A96:A97"/>
    <x:mergeCell ref="B96:B97"/>
    <x:mergeCell ref="A102:A103"/>
    <x:mergeCell ref="B102:B103"/>
    <x:mergeCell ref="A104:A105"/>
    <x:mergeCell ref="B104:B105"/>
    <x:mergeCell ref="A110:A111"/>
    <x:mergeCell ref="B110:B111"/>
    <x:mergeCell ref="A112:A113"/>
    <x:mergeCell ref="B112:B113"/>
    <x:mergeCell ref="A115:A116"/>
    <x:mergeCell ref="B115:B116"/>
    <x:mergeCell ref="A117:A118"/>
    <x:mergeCell ref="B117:B118"/>
    <x:mergeCell ref="A120:A121"/>
    <x:mergeCell ref="B120:B121"/>
    <x:mergeCell ref="A122:A123"/>
    <x:mergeCell ref="B122:B123"/>
    <x:mergeCell ref="A130:A131"/>
    <x:mergeCell ref="B130:B131"/>
    <x:mergeCell ref="A132:A133"/>
    <x:mergeCell ref="B132:B133"/>
    <x:mergeCell ref="A137:A139"/>
    <x:mergeCell ref="B137:B139"/>
    <x:mergeCell ref="A140:A141"/>
    <x:mergeCell ref="B140:B141"/>
    <x:mergeCell ref="A142:A143"/>
    <x:mergeCell ref="B142:B143"/>
    <x:mergeCell ref="A145:A146"/>
    <x:mergeCell ref="B145:B146"/>
    <x:mergeCell ref="A147:A148"/>
    <x:mergeCell ref="B147:B148"/>
    <x:mergeCell ref="A154:A155"/>
    <x:mergeCell ref="B154:B155"/>
  </x:mergeCells>
  <x:conditionalFormatting sqref="C8:C166">
    <x:cfRule type="cellIs" dxfId="0" priority="1" operator="equal">
      <x:formula>"支持"</x:formula>
    </x:cfRule>
    <x:cfRule type="cellIs" dxfId="1" priority="2" operator="equal">
      <x:formula>"部分支持"</x:formula>
    </x:cfRule>
    <x:cfRule type="cellIs" dxfId="2" priority="3" operator="equal">
      <x:formula>"未支持"</x:formula>
    </x:cfRule>
    <x:cfRule type="cellIs" dxfId="3" priority="4" operator="equal">
      <x:formula>"待确认"</x:formula>
    </x:cfRule>
  </x:conditionalFormatting>
  <x:pageMargins left="0.7" right="0.7" top="0.75" bottom="0.75" header="0.3" footer="0.3"/>
</x:worksheet>
</file>

<file path=xl/worksheets/sheet2.xml><?xml version="1.0" encoding="utf-8"?>
<x:worksheet xmlns:x="http://schemas.openxmlformats.org/spreadsheetml/2006/main">
  <x:sheetPr>
    <x:tabColor rgb="FF2E63AF"/>
  </x:sheetPr>
  <x:sheetViews>
    <x:sheetView showGridLines="0" workbookViewId="0">
      <x:pane xSplit="2" ySplit="7" topLeftCell="C8" activePane="bottomRight" state="frozen"/>
    </x:sheetView>
  </x:sheetViews>
  <x:sheetFormatPr defaultRowHeight="15"/>
  <x:cols>
    <x:col min="1" max="1" width="18.329999923706055" hidden="0" customWidth="1"/>
    <x:col min="2" max="2" width="24.440000534057617" hidden="0" customWidth="1"/>
    <x:col min="3" max="3" width="17.780000686645508" hidden="0" customWidth="1"/>
    <x:col min="4" max="4" width="34.439998626708984" hidden="0" customWidth="1"/>
    <x:col min="5" max="5" width="46.66999816894531" hidden="0" customWidth="1"/>
    <x:col min="6" max="6" width="16.110000610351562" hidden="0" customWidth="1"/>
    <x:col min="7" max="7" width="36.66999816894531" hidden="0" customWidth="1"/>
    <x:col min="8" max="8" width="34.439998626708984" hidden="0" customWidth="1"/>
    <x:col min="9" max="9" width="32.220001220703125" hidden="0" customWidth="1"/>
    <x:col min="10" max="10" width="43.33000183105469" hidden="0" customWidth="1"/>
    <x:col min="11" max="11" width="43.33000183105469" hidden="0" customWidth="1"/>
    <x:col min="12" max="12" width="46.66999816894531" hidden="0" customWidth="1"/>
    <x:col min="13" max="13" width="27.780000686645508" hidden="0" customWidth="1"/>
    <x:col min="14" max="14" width="41.11000061035156" hidden="0" customWidth="1"/>
    <x:col min="15" max="15" width="62.220001220703125" hidden="0" customWidth="1"/>
    <x:col min="16" max="16" width="72.22000122070312" hidden="0" customWidth="1"/>
  </x:cols>
  <x:sheetData>
    <x:row r="1" ht="9" customHeight="1">
      <x:c r="A1" s="1"/>
      <x:c r="B1" s="1"/>
      <x:c r="C1" s="1"/>
      <x:c r="D1" s="1"/>
      <x:c r="E1" s="1"/>
      <x:c r="F1" s="1"/>
      <x:c r="G1" s="1"/>
      <x:c r="H1" s="1"/>
      <x:c r="I1" s="1"/>
      <x:c r="J1" s="1"/>
      <x:c r="K1" s="1"/>
      <x:c r="L1" s="1"/>
      <x:c r="M1" s="1"/>
      <x:c r="N1" s="1"/>
      <x:c r="O1" s="1"/>
      <x:c r="P1" s="1"/>
    </x:row>
    <x:row r="2" ht="30" customHeight="1">
      <x:c r="A2" s="2" t="str">
        <x:v>指标定义与接口</x:v>
      </x:c>
      <x:c r="B2" s="1"/>
      <x:c r="C2" s="1"/>
      <x:c r="D2" s="1"/>
      <x:c r="E2" s="1"/>
      <x:c r="F2" s="1"/>
      <x:c r="G2" s="1"/>
      <x:c r="H2" s="1"/>
      <x:c r="I2" s="1"/>
      <x:c r="J2" s="1"/>
      <x:c r="K2" s="1"/>
      <x:c r="L2" s="1"/>
      <x:c r="M2" s="1"/>
      <x:c r="N2" s="1"/>
      <x:c r="O2" s="1"/>
      <x:c r="P2" s="1"/>
    </x:row>
    <x:row r="3" ht="28" customHeight="1">
      <x:c r="A3" s="4" t="str">
        <x:v>标准指标、登记派生指标与配套业务读数分别标明类别。IP·天合计及计算基数放入所属指标的公式、接口与配套输入范围。</x:v>
      </x:c>
      <x:c r="B3" s="4"/>
      <x:c r="C3" s="4"/>
      <x:c r="D3" s="4"/>
      <x:c r="E3" s="4"/>
      <x:c r="F3" s="4"/>
      <x:c r="G3" s="4"/>
      <x:c r="H3" s="4"/>
      <x:c r="I3" s="1"/>
      <x:c r="J3" s="1"/>
      <x:c r="K3" s="1"/>
      <x:c r="L3" s="1"/>
      <x:c r="M3" s="1"/>
      <x:c r="N3" s="1"/>
      <x:c r="O3" s="1"/>
      <x:c r="P3" s="1"/>
    </x:row>
    <x:row r="4" ht="28" customHeight="1">
      <x:c r="A4" s="4" t="str">
        <x:v>筛选编号与主表对应；公式是业务定义，当前接口计算单列，差异保留在“已知口径问题”。</x:v>
      </x:c>
      <x:c r="B4" s="4"/>
      <x:c r="C4" s="4"/>
      <x:c r="D4" s="4"/>
      <x:c r="E4" s="4"/>
      <x:c r="F4" s="4"/>
      <x:c r="G4" s="4"/>
      <x:c r="H4" s="4"/>
      <x:c r="I4" s="1"/>
      <x:c r="J4" s="1"/>
      <x:c r="K4" s="1"/>
      <x:c r="L4" s="1"/>
      <x:c r="M4" s="1"/>
      <x:c r="N4" s="1"/>
      <x:c r="O4" s="1"/>
      <x:c r="P4" s="1"/>
    </x:row>
    <x:row r="5" ht="24" customHeight="1">
      <x:c r="A5" s="3" t="str">
        <x:v>筛选条件／需返回数据是开发需求名称，不是在本次直接新增接口参数或埋点字段。</x:v>
      </x:c>
      <x:c r="B5" s="1" t="str"/>
      <x:c r="C5" s="1" t="str"/>
      <x:c r="D5" s="1" t="str"/>
      <x:c r="E5" s="1" t="str"/>
      <x:c r="F5" s="1" t="str"/>
      <x:c r="G5" s="1" t="str"/>
      <x:c r="H5" s="1" t="str"/>
      <x:c r="I5" s="1"/>
      <x:c r="J5" s="1"/>
      <x:c r="K5" s="1"/>
      <x:c r="L5" s="1"/>
      <x:c r="M5" s="1"/>
      <x:c r="N5" s="1"/>
      <x:c r="O5" s="1"/>
      <x:c r="P5" s="1"/>
    </x:row>
    <x:row r="6" ht="9" customHeight="1">
      <x:c r="A6" s="1"/>
      <x:c r="B6" s="1"/>
      <x:c r="C6" s="1"/>
      <x:c r="D6" s="1"/>
      <x:c r="E6" s="1"/>
      <x:c r="F6" s="1"/>
      <x:c r="G6" s="1"/>
      <x:c r="H6" s="1"/>
      <x:c r="I6" s="1"/>
      <x:c r="J6" s="1"/>
      <x:c r="K6" s="1"/>
      <x:c r="L6" s="1"/>
      <x:c r="M6" s="1"/>
      <x:c r="N6" s="1"/>
      <x:c r="O6" s="1"/>
      <x:c r="P6" s="1"/>
    </x:row>
    <x:row r="7" ht="38" customHeight="1">
      <x:c r="A7" s="10" t="str">
        <x:v>编号</x:v>
      </x:c>
      <x:c r="B7" s="11" t="str">
        <x:v>指标</x:v>
      </x:c>
      <x:c r="C7" s="11" t="str">
        <x:v>类别</x:v>
      </x:c>
      <x:c r="D7" s="11" t="str">
        <x:v>当前定义</x:v>
      </x:c>
      <x:c r="E7" s="11" t="str">
        <x:v>计算公式</x:v>
      </x:c>
      <x:c r="F7" s="11" t="str">
        <x:v>单位</x:v>
      </x:c>
      <x:c r="G7" s="11" t="str">
        <x:v>去重方式</x:v>
      </x:c>
      <x:c r="H7" s="11" t="str">
        <x:v>统计日期与维度</x:v>
      </x:c>
      <x:c r="I7" s="11" t="str">
        <x:v>排除项</x:v>
      </x:c>
      <x:c r="J7" s="11" t="str">
        <x:v>已知口径问题</x:v>
      </x:c>
      <x:c r="K7" s="11" t="str">
        <x:v>当前接口计算</x:v>
      </x:c>
      <x:c r="L7" s="11" t="str">
        <x:v>补齐／确认要求</x:v>
      </x:c>
      <x:c r="M7" s="11" t="str">
        <x:v>所属看板</x:v>
      </x:c>
      <x:c r="N7" s="11" t="str">
        <x:v>核对依据</x:v>
      </x:c>
      <x:c r="O7" s="11" t="str">
        <x:v>现有接口与字段</x:v>
      </x:c>
      <x:c r="P7" s="12" t="str">
        <x:v>配套输入取数范围</x:v>
      </x:c>
    </x:row>
    <x:row r="8" ht="94" customHeight="1">
      <x:c r="A8" s="14" t="str">
        <x:v>M001</x:v>
      </x:c>
      <x:c r="B8" s="14" t="str">
        <x:v>落地页访问次数</x:v>
      </x:c>
      <x:c r="C8" s="14" t="str">
        <x:v>标准指标</x:v>
      </x:c>
      <x:c r="D8" s="14" t="str">
        <x:v>落地页产生的有效页面浏览次数，刷新和重新进入均重新计数</x:v>
      </x:c>
      <x:c r="E8" s="14" t="str">
        <x:v>有效落地页访问记录数</x:v>
      </x:c>
      <x:c r="F8" s="14" t="str">
        <x:v>次</x:v>
      </x:c>
      <x:c r="G8" s="14" t="str">
        <x:v>重复上报不重复计算；同一用户的多次真实访问分别计数</x:v>
      </x:c>
      <x:c r="H8" s="14" t="str">
        <x:v>业务日、渠道、下载目标、PID</x:v>
      </x:c>
      <x:c r="I8" s="14" t="str">
        <x:v>机器人、预览、内部流量、重复发送</x:v>
      </x:c>
      <x:c r="J8" s="14" t="str">
        <x:v>当前正式埋点未登记外部落地页浏览事件，不能用站内 page_view 自动替代</x:v>
      </x:c>
      <x:c r="K8" s="14" t="str">
        <x:v>总体：totalVistCount</x:v>
      </x:c>
      <x:c r="L8" s="14" t="str">
        <x:v>与现有定义一致；采用后台日汇总对应切片的直接结果，不相加或推算总体；身份去重方式待验数。</x:v>
      </x:c>
      <x:c r="M8" s="14" t="str">
        <x:v>核心经营总览；获客与新增</x:v>
      </x:c>
      <x:c r="N8" s="14" t="str">
        <x:v>全站指标体系.md（M001，v0.24-draft）；BI-产品需求文档.md:708；CoreOverviewDesignFixture.tsx；operating-detail-columns.ts；BI-产品需求文档.md:1072；AcquisitionPreview.tsx:87；acquisition-channel-quality.ts；acquisition-preview-model.ts</x:v>
      </x:c>
      <x:c r="O8" s="14" t="str">
        <x:v>/api/admin/statistics/pDaySum
总体：totalVistCount</x:v>
      </x:c>
      <x:c r="P8" s="14" t="str">
        <x:v>—</x:v>
      </x:c>
    </x:row>
    <x:row r="9" ht="78" customHeight="1">
      <x:c r="A9" s="14" t="str">
        <x:v>M002</x:v>
      </x:c>
      <x:c r="B9" s="14" t="str">
        <x:v>落地页访问IP数（去重）</x:v>
      </x:c>
      <x:c r="C9" s="14" t="str">
        <x:v>标准指标</x:v>
      </x:c>
      <x:c r="D9" s="14" t="str">
        <x:v>统计周期内访问落地页的去重 IP 数量，作为访客规模的历史代理</x:v>
      </x:c>
      <x:c r="E9" s="14" t="str">
        <x:v>统计周期内访问落地页的不同 IP 数</x:v>
      </x:c>
      <x:c r="F9" s="14" t="str">
        <x:v>IP</x:v>
      </x:c>
      <x:c r="G9" s="14" t="str">
        <x:v>同一 IP 每个业务日只计一次</x:v>
      </x:c>
      <x:c r="H9" s="14" t="str">
        <x:v>业务日、渠道、下载目标、PID</x:v>
      </x:c>
      <x:c r="I9" s="14" t="str">
        <x:v>无 IP、非人工流量</x:v>
      </x:c>
      <x:c r="J9" s="14" t="str">
        <x:v>共享网络会合并多人，换 IP 会拆分同一人；新埋点明确不采集 ip_hash</x:v>
      </x:c>
      <x:c r="K9" s="14" t="str">
        <x:v>统计周期内访问落地页的不同 IP 数</x:v>
      </x:c>
      <x:c r="L9" s="14" t="str">
        <x:v>作为历史“访客数”代理使用，不解释为真实去重用户数</x:v>
      </x:c>
      <x:c r="M9" s="14" t="str">
        <x:v>获客与新增</x:v>
      </x:c>
      <x:c r="N9" s="14" t="str">
        <x:v>全站指标体系.md（M002，v0.24-draft）；全站指标体系.md:271</x:v>
      </x:c>
      <x:c r="O9" s="14" t="str">
        <x:v>/api/admin/statistics/channel/channelStatByTypeV2
可复用：ipStatTotalCount
未找到可直接使用的接口
—</x:v>
      </x:c>
      <x:c r="P9" s="14" t="str">
        <x:v>—</x:v>
      </x:c>
    </x:row>
    <x:row r="10" ht="94" customHeight="1">
      <x:c r="A10" s="14" t="str">
        <x:v>M003</x:v>
      </x:c>
      <x:c r="B10" s="14" t="str">
        <x:v>落地页下载点击次数</x:v>
      </x:c>
      <x:c r="C10" s="14" t="str">
        <x:v>标准指标</x:v>
      </x:c>
      <x:c r="D10" s="14" t="str">
        <x:v>用户点击落地页下载按钮的总次数</x:v>
      </x:c>
      <x:c r="E10" s="14" t="str">
        <x:v>下载按钮点击记录数</x:v>
      </x:c>
      <x:c r="F10" s="14" t="str">
        <x:v>次</x:v>
      </x:c>
      <x:c r="G10" s="14" t="str">
        <x:v>每次真实点击都计一次；重复日志不重复计算</x:v>
      </x:c>
      <x:c r="H10" s="14" t="str">
        <x:v>业务日、渠道、下载目标（Android / iOS / App Store）、PID</x:v>
      </x:c>
      <x:c r="I10" s="14" t="str">
        <x:v>自动跳转、脚本唤起、预加载、非下载区域点击</x:v>
      </x:c>
      <x:c r="J10" s="14" t="str">
        <x:v>点击只代表下载意图，不代表下载或安装完成</x:v>
      </x:c>
      <x:c r="K10" s="14" t="str">
        <x:v>总体：totalDownCountNoDedup</x:v>
      </x:c>
      <x:c r="L10" s="14" t="str">
        <x:v>与现有定义一致；渠道统计V2的所选平台单日独立合计，不累计渠道层级明细。身份去重方式待验数。</x:v>
      </x:c>
      <x:c r="M10" s="14" t="str">
        <x:v>核心经营总览；获客与新增</x:v>
      </x:c>
      <x:c r="N10" s="14" t="str">
        <x:v>全站指标体系.md（M003，v0.24-draft）；BI-产品需求文档.md:708；CoreOverviewDesignFixture.tsx；operating-detail-columns.ts；BI-产品需求文档.md:1072；AcquisitionPreview.tsx:87；acquisition-channel-quality.ts；acquisition-preview-model.ts</x:v>
      </x:c>
      <x:c r="O10" s="14" t="str">
        <x:v>/api/admin/statistics/channel/channelStatByTypeV2
总体：totalDownCountNoDedup</x:v>
      </x:c>
      <x:c r="P10" s="14" t="str">
        <x:v>—</x:v>
      </x:c>
    </x:row>
    <x:row r="11" ht="94" customHeight="1">
      <x:c r="A11" s="14" t="str">
        <x:v>M005</x:v>
      </x:c>
      <x:c r="B11" s="14" t="str">
        <x:v>访问-下载点击转化率</x:v>
      </x:c>
      <x:c r="C11" s="14" t="str">
        <x:v>标准指标</x:v>
      </x:c>
      <x:c r="D11" s="14" t="str">
        <x:v>落地页访问次数中产生下载点击的次数比例，现有口径不做 IP 或用户去重</x:v>
      </x:c>
      <x:c r="E11" s="14" t="str">
        <x:v>落地页下载点击次数 ÷ 落地页访问次数</x:v>
      </x:c>
      <x:c r="F11" s="14" t="str">
        <x:v>%</x:v>
      </x:c>
      <x:c r="G11" s="14" t="str">
        <x:v>访问与下载点击分别按真实业务事实计数，只去除重复日志</x:v>
      </x:c>
      <x:c r="H11" s="14" t="str">
        <x:v>同一业务日、渠道、下载目标、PID</x:v>
      </x:c>
      <x:c r="I11" s="14" t="str">
        <x:v>非人工流量、测试流量、重复日志</x:v>
      </x:c>
      <x:c r="J11" s="14" t="str">
        <x:v>同一次访问可能点击多次，结果可能超过 100%；不能解释为去重访客转化</x:v>
      </x:c>
      <x:c r="K11" s="14" t="str">
        <x:v>总体：totalDownCountNoDedup / visiCountNoDedup</x:v>
      </x:c>
      <x:c r="L11" s="14" t="str">
        <x:v>保留现有次数口径，并与去重版转化率分开呈现；渠道统计V2的所选平台单日独立合计，不累计渠道层级明细。身份去重方式待验数。</x:v>
      </x:c>
      <x:c r="M11" s="14" t="str">
        <x:v>核心经营总览；获客与新增</x:v>
      </x:c>
      <x:c r="N11" s="14" t="str">
        <x:v>全站指标体系.md（M005，v0.24-draft）；BI-产品需求文档.md:708；CoreOverviewDesignFixture.tsx；operating-detail-columns.ts；BI-产品需求文档.md:1072；AcquisitionPreview.tsx:87；acquisition-channel-quality.ts；acquisition-preview-model.ts</x:v>
      </x:c>
      <x:c r="O11" s="14" t="str">
        <x:v>/api/admin/statistics/channel/channelStatByTypeV2
总体：totalDownCountNoDedup；visiCountNoDedup</x:v>
      </x:c>
      <x:c r="P11" s="14" t="str">
        <x:v>—</x:v>
      </x:c>
    </x:row>
    <x:row r="12" ht="126" customHeight="1">
      <x:c r="A12" s="14" t="str">
        <x:v>M006</x:v>
      </x:c>
      <x:c r="B12" s="14" t="str">
        <x:v>下载点击-注册转化率</x:v>
      </x:c>
      <x:c r="C12" s="14" t="str">
        <x:v>标准指标</x:v>
      </x:c>
      <x:c r="D12" s="14" t="str">
        <x:v>下载访问后形成注册的转化趋势</x:v>
      </x:c>
      <x:c r="E12" s="14" t="str">
        <x:v>注册用户数区间排重 ÷ 总下载IP·天合计
下载IP·天合计（IP·天，计算输入）：Σ每日下载IP去重数</x:v>
      </x:c>
      <x:c r="F12" s="14" t="str">
        <x:v>%</x:v>
      </x:c>
      <x:c r="G12" s="14" t="str">
        <x:v>注册用户在整个统计周期只计一次；下载点击 IP 按天去重</x:v>
      </x:c>
      <x:c r="H12" s="14" t="str">
        <x:v>查询区间、渠道</x:v>
      </x:c>
      <x:c r="I12" s="14" t="str">
        <x:v>测试账号、机器人</x:v>
      </x:c>
      <x:c r="J12" s="14" t="str">
        <x:v>分子分母主体和去重窗口不一致，只能看趋势，不能作为精确漏斗
每日按IP排重后跨日累计；同一IP多天可重复，非区间IP去重。
M006/M007的去重IP按天求和输入；不是区间独立IP。</x:v>
      </x:c>
      <x:c r="K12" s="14" t="str">
        <x:v>总体：registerUserCount / totalDownCountByIp</x:v>
      </x:c>
      <x:c r="L12" s="14" t="str">
        <x:v>保留现有趋势指标；精准漏斗需新的合规跨端归因键后另立口径；渠道统计V2的所选平台单日独立合计，不累计渠道层级明细。身份去重方式待验数。</x:v>
      </x:c>
      <x:c r="M12" s="14" t="str">
        <x:v>核心经营总览；获客与新增</x:v>
      </x:c>
      <x:c r="N12" s="14" t="str">
        <x:v>全站指标体系.md（M006，v0.24-draft）；BI-产品需求文档.md:708；CoreOverviewDesignFixture.tsx；operating-detail-columns.ts；BI-产品需求文档.md:1072；AcquisitionPreview.tsx:87；acquisition-channel-quality.ts
下载IP·天合计（download_ip_days）：BI-产品需求文档.md:1072；acquisition-preview-model.ts:84</x:v>
      </x:c>
      <x:c r="O12" s="14" t="str">
        <x:v>/api/admin/statistics/channel/channelStatByTypeV2
总体：registerUserCount；totalDownCountByIp
下载IP·天合计：
/api/admin/statistics/channel/channelStatByTypeV2
已有每日输入：totalDownCountByIp
/api/admin/statistics/channel/channelStatByTypeV2
总体参考（本维度未提供）：totalDownCountByIp</x:v>
      </x:c>
      <x:c r="P12" s="14" t="str">
        <x:v>下载IP·天合计：部分支持【总体】单日、逐日趋势
未支持【1. 总体；2. 下载目标；来源渠道】1. 区间合计、日均；2. 单日、逐日趋势、区间合计、日均</x:v>
      </x:c>
    </x:row>
    <x:row r="13" ht="126" customHeight="1">
      <x:c r="A13" s="14" t="str">
        <x:v>M007</x:v>
      </x:c>
      <x:c r="B13" s="14" t="str">
        <x:v>访问-注册转化率</x:v>
      </x:c>
      <x:c r="C13" s="14" t="str">
        <x:v>标准指标</x:v>
      </x:c>
      <x:c r="D13" s="14" t="str">
        <x:v>落地页访问后形成注册的转化趋势</x:v>
      </x:c>
      <x:c r="E13" s="14" t="str">
        <x:v>注册用户数区间排重 ÷ 落地页访问IP·天合计
落地页访问IP·天合计（IP·天，计算输入）：Σ每日访问IP去重数</x:v>
      </x:c>
      <x:c r="F13" s="14" t="str">
        <x:v>%</x:v>
      </x:c>
      <x:c r="G13" s="14" t="str">
        <x:v>注册用户在整个统计周期只计一次；落地页访问 IP 按天去重</x:v>
      </x:c>
      <x:c r="H13" s="14" t="str">
        <x:v>查询区间、渠道</x:v>
      </x:c>
      <x:c r="I13" s="14" t="str">
        <x:v>测试账号、非human</x:v>
      </x:c>
      <x:c r="J13" s="14" t="str">
        <x:v>去重口径不对称且没有用户级归因，只能看趋势
每日按IP排重后跨日累计；同一IP多天可重复，非区间IP去重。
M006/M007的去重IP按天求和输入；不是区间独立IP。</x:v>
      </x:c>
      <x:c r="K13" s="14" t="str">
        <x:v>总体：registerUserCount / ipStatTotalCount</x:v>
      </x:c>
      <x:c r="L13" s="14" t="str">
        <x:v>保留现有趋势指标并增加“不可用于精确归因”标签；渠道统计V2的所选平台单日独立合计，不累计渠道层级明细。身份去重方式待验数。</x:v>
      </x:c>
      <x:c r="M13" s="14" t="str">
        <x:v>核心经营总览；获客与新增</x:v>
      </x:c>
      <x:c r="N13" s="14" t="str">
        <x:v>全站指标体系.md（M007，v0.24-draft）；BI-产品需求文档.md:708；CoreOverviewDesignFixture.tsx；operating-detail-columns.ts；BI-产品需求文档.md:1072；AcquisitionPreview.tsx:87；acquisition-channel-quality.ts
落地页访问IP·天合计（visit_ip_days）：BI-产品需求文档.md:1072；acquisition-preview-model.ts:84</x:v>
      </x:c>
      <x:c r="O13" s="14" t="str">
        <x:v>/api/admin/statistics/channel/channelStatByTypeV2
总体：registerUserCount；ipStatTotalCount
落地页访问IP·天合计：
/api/admin/statistics/channel/channelStatByTypeV2
已有每日输入：ipStatTotalCount
/api/admin/statistics/channel/channelStatByTypeV2
总体参考（本维度未提供）：ipStatTotalCount</x:v>
      </x:c>
      <x:c r="P13" s="14" t="str">
        <x:v>落地页访问IP·天合计：部分支持【总体】单日、逐日趋势
未支持【1. 总体；2. 下载目标；来源渠道】1. 区间合计、日均；2. 单日、逐日趋势、区间合计、日均</x:v>
      </x:c>
    </x:row>
    <x:row r="14" ht="142" customHeight="1">
      <x:c r="A14" s="14" t="str">
        <x:v>M008</x:v>
      </x:c>
      <x:c r="B14" s="14" t="str">
        <x:v>新增用户数</x:v>
      </x:c>
      <x:c r="C14" s="14" t="str">
        <x:v>标准指标</x:v>
      </x:c>
      <x:c r="D14" s="14" t="str">
        <x:v>页面一、页面二按当天新建账号的 uid 去重；渠道统计页按注册事件数；Android / iOS 分端还存在“登录人数减老用户登录人数”和“按 UA 统计注册事件”两种实现。</x:v>
      </x:c>
      <x:c r="E14" s="14" t="str">
        <x:v>当日新建账号按 uid 去重</x:v>
      </x:c>
      <x:c r="F14" s="14" t="str">
        <x:v>人</x:v>
      </x:c>
      <x:c r="G14" s="14" t="str">
        <x:v>同一账号在注册当天只计一次</x:v>
      </x:c>
      <x:c r="H14" s="14" t="str">
        <x:v>业务日、渠道、PID；按 Android / iOS / App Store 下载目标与自然新增 / 内部导量获客类型查看</x:v>
      </x:c>
      <x:c r="I14" s="14" t="str">
        <x:v>测试账号、机器人、重复回调</x:v>
      </x:c>
      <x:c r="J14" s="14" t="str">
        <x:v>部分后台页面使用注册事件数或登录差值代替新增，不能与本指标混用；App Store 是下载目标或获客归因，不是平台枚举</x:v>
      </x:c>
      <x:c r="K14" s="14" t="str">
        <x:v>自然新增：natureRegisterCount；内部导量：channelInternalRegisterCount；Web：webNewUserCount；Android：androidNewUserCount；iOS：iosNewUserCount；总体：registerUserCount</x:v>
      </x:c>
      <x:c r="L14" s="14" t="str">
        <x:v>统一将“新增用户数”限定为账号注册事实去重人数，其他口径改用独立名称；渠道统计V2的所选平台单日独立合计，不累计渠道层级明细。身份去重方式待验数。；采用后台日汇总对应切片的直接结果，不相加或推算总体；身份去重方式待验数。</x:v>
      </x:c>
      <x:c r="M14" s="14" t="str">
        <x:v>核心经营总览；获客与新增；活跃与留存</x:v>
      </x:c>
      <x:c r="N14" s="14" t="str">
        <x:v>全站指标体系.md（M008，v0.24-draft）；BI-产品需求文档.md:708；CoreOverviewDesignFixture.tsx；operating-detail-columns.ts；BI-产品需求文档.md:1072；AcquisitionPreview.tsx:87；acquisition-channel-quality.ts；acquisition-preview-model.ts；AcquisitionPreview.tsx:119；BI-产品需求文档.md:1184；topic-preview-fixtures.ts</x:v>
      </x:c>
      <x:c r="O14" s="14" t="str">
        <x:v>/api/admin/statistics/channel/channelStatByTypeV2
自然新增：natureRegisterCount
内部导量：channelInternalRegisterCount
/api/admin/statistics/pDaySum
Web：webNewUserCount
Android：androidNewUserCount
iOS：iosNewUserCount
总体：registerUserCount</x:v>
      </x:c>
      <x:c r="P14" s="14" t="str">
        <x:v>—</x:v>
      </x:c>
    </x:row>
    <x:row r="15" ht="46" customHeight="1">
      <x:c r="A15" s="14" t="str">
        <x:v>M011</x:v>
      </x:c>
      <x:c r="B15" s="14" t="str">
        <x:v>新增用户数（扣后）</x:v>
      </x:c>
      <x:c r="C15" s="14" t="str">
        <x:v>标准指标</x:v>
      </x:c>
      <x:c r="D15" s="14" t="str">
        <x:v>按渠道结算扣量规则保留的新增量</x:v>
      </x:c>
      <x:c r="E15" s="14" t="str">
        <x:v>每30分钟切片：扣前新增 × 保留比例后向上取整，再汇总</x:v>
      </x:c>
      <x:c r="F15" s="14" t="str">
        <x:v>人</x:v>
      </x:c>
      <x:c r="G15" s="14" t="str">
        <x:v>同一用户每天只计一次</x:v>
      </x:c>
      <x:c r="H15" s="14" t="str">
        <x:v>业务日、渠道、合作方式</x:v>
      </x:c>
      <x:c r="I15" s="14" t="str">
        <x:v>无扣量配置的渠道</x:v>
      </x:c>
      <x:c r="J15" s="14" t="str">
        <x:v>不是产品真实新增，不能进入产品增长与留存分母</x:v>
      </x:c>
      <x:c r="K15" s="14" t="str">
        <x:v>每30分钟切片：扣前新增 × 保留比例后向上取整，再汇总</x:v>
      </x:c>
      <x:c r="L15" s="14" t="str">
        <x:v>与现有定义一致</x:v>
      </x:c>
      <x:c r="M15" s="14" t="str">
        <x:v>获客与新增</x:v>
      </x:c>
      <x:c r="N15" s="14" t="str">
        <x:v>全站指标体系.md（M011，v0.24-draft）；BI-产品需求文档.md:1072；AcquisitionPreview.tsx:117</x:v>
      </x:c>
      <x:c r="O15" s="14" t="str">
        <x:v>未找到可直接使用的接口
—</x:v>
      </x:c>
      <x:c r="P15" s="14" t="str">
        <x:v>—</x:v>
      </x:c>
    </x:row>
    <x:row r="16" ht="110" customHeight="1">
      <x:c r="A16" s="14" t="str">
        <x:v>M016</x:v>
      </x:c>
      <x:c r="B16" s="14" t="str">
        <x:v>日活跃用户数</x:v>
      </x:c>
      <x:c r="C16" s="14" t="str">
        <x:v>标准指标</x:v>
      </x:c>
      <x:c r="D16" s="14" t="str">
        <x:v>当天打开并登录产品的去重用户数</x:v>
      </x:c>
      <x:c r="E16" s="14" t="str">
        <x:v>当天登录 uid 去重</x:v>
      </x:c>
      <x:c r="F16" s="14" t="str">
        <x:v>人</x:v>
      </x:c>
      <x:c r="G16" s="14" t="str">
        <x:v>同一用户每天只计一次</x:v>
      </x:c>
      <x:c r="H16" s="14" t="str">
        <x:v>业务日、渠道、PID；按 Android / iOS 与新用户 / 老用户查看</x:v>
      </x:c>
      <x:c r="I16" s="14" t="str">
        <x:v>测试账号、机器人</x:v>
      </x:c>
      <x:c r="J16" s="14" t="str">
        <x:v>多天直接相加会把同一用户重复计算；且未登录使用者不进入该口径</x:v>
      </x:c>
      <x:c r="K16" s="14" t="str">
        <x:v>Web：webLoginUserCount；Android：androidLoginUserCount；iOS：iosLoginUserCount；老用户：oldUserLoginUserCount；总体：loginUserCount</x:v>
      </x:c>
      <x:c r="L16" s="14" t="str">
        <x:v>保留“登录DAU”；新老用户按统计业务日判断，二者合计应与同范围日活一致；采用后台日汇总对应切片的直接结果，不相加或推算总体；身份去重方式待验数。</x:v>
      </x:c>
      <x:c r="M16" s="14" t="str">
        <x:v>核心经营总览；活跃与留存；产品体验与启动质量</x:v>
      </x:c>
      <x:c r="N16" s="14" t="str">
        <x:v>全站指标体系.md（M016，v0.24-draft）；BI-产品需求文档.md:708；CoreOverviewDesignFixture.tsx；operating-detail-columns.ts；BI-产品需求文档.md:1184；TopicPreviews.tsx；BI-产品需求文档.md:1741；version-performance-fixtures.ts:460；version-performance-fixtures.ts:377</x:v>
      </x:c>
      <x:c r="O16" s="14" t="str">
        <x:v>/api/admin/statistics/pDaySum
Web：webLoginUserCount
Android：androidLoginUserCount
iOS：iosLoginUserCount
老用户：oldUserLoginUserCount
总体：loginUserCount</x:v>
      </x:c>
      <x:c r="P16" s="14" t="str">
        <x:v>—</x:v>
      </x:c>
    </x:row>
    <x:row r="17" ht="78" customHeight="1">
      <x:c r="A17" s="14" t="str">
        <x:v>M018</x:v>
      </x:c>
      <x:c r="B17" s="14" t="str">
        <x:v>月活跃用户数</x:v>
      </x:c>
      <x:c r="C17" s="14" t="str">
        <x:v>标准指标</x:v>
      </x:c>
      <x:c r="D17" s="14" t="str">
        <x:v>月度区间内至少活跃一次的去重用户数</x:v>
      </x:c>
      <x:c r="E17" s="14" t="str">
        <x:v>自然月内登录过的不同 uid 数</x:v>
      </x:c>
      <x:c r="F17" s="14" t="str">
        <x:v>人</x:v>
      </x:c>
      <x:c r="G17" s="14" t="str">
        <x:v>同一用户每个自然月只计一次</x:v>
      </x:c>
      <x:c r="H17" s="14" t="str">
        <x:v>自然月、平台、PID</x:v>
      </x:c>
      <x:c r="I17" s="14" t="str">
        <x:v>测试账号</x:v>
      </x:c>
      <x:c r="J17" s="14" t="str">
        <x:v>现有T+1且不含当天；与登录DAU同样不包含匿名使用</x:v>
      </x:c>
      <x:c r="K17" s="14" t="str">
        <x:v>自然月内登录过的不同账号数</x:v>
      </x:c>
      <x:c r="L17" s="14" t="str">
        <x:v>与现有定义一致</x:v>
      </x:c>
      <x:c r="M17" s="14" t="str">
        <x:v>核心经营总览；活跃与留存</x:v>
      </x:c>
      <x:c r="N17" s="14" t="str">
        <x:v>全站指标体系.md（M018，v0.24-draft）；BI-产品需求文档.md:708；operating-detail-columns.ts；BI-产品需求文档.md:1184；topic-preview-fixtures.ts:182</x:v>
      </x:c>
      <x:c r="O17" s="14" t="str">
        <x:v>/api/admin/statistics/channel/channelStatByTypeV2；/api/admin/statistics/pDaySum
相关字段待核：mau；loginUserCount；androidLoginUserCount；iosLoginUserCount；sumDate</x:v>
      </x:c>
      <x:c r="P17" s="14" t="str">
        <x:v>—</x:v>
      </x:c>
    </x:row>
    <x:row r="18" ht="174" customHeight="1">
      <x:c r="A18" s="14" t="str">
        <x:v>M020</x:v>
      </x:c>
      <x:c r="B18" s="14" t="str">
        <x:v>注册用户D1留存率</x:v>
      </x:c>
      <x:c r="C18" s="14" t="str">
        <x:v>标准指标</x:v>
      </x:c>
      <x:c r="D18" s="14" t="str">
        <x:v>某日注册用户中第 2 天登录的人数占该日注册人数的比例；汇总卡片按各注册批次留存人数之和除以注册人数之和计算。</x:v>
      </x:c>
      <x:c r="E18" s="14" t="str">
        <x:v>D1登录的D0注册用户数 ÷ D0注册用户数
首日注册用户数（人，计算输入）：D0注册用户去重数，版本按D0冻结</x:v>
      </x:c>
      <x:c r="F18" s="14" t="str">
        <x:v>%</x:v>
      </x:c>
      <x:c r="G18" s="14" t="str">
        <x:v>同一注册批次内，同一用户只计一次</x:v>
      </x:c>
      <x:c r="H18" s="14" t="str">
        <x:v>D0与D1业务日；加权汇总；按 D0 Android / iOS 平台及自然新增 / 内部导量获客类型拆分，D1 回访允许跨平台</x:v>
      </x:c>
      <x:c r="I18" s="14" t="str">
        <x:v>未成熟Cohort、测试账号</x:v>
      </x:c>
      <x:c r="J18" s="14" t="str">
        <x:v>后台“次日”有时写作第2天，需固定D1定义
M020分母，按客户端版本实体独立读；不是新增业务日切片之外的新指标。
同快照实名输入或展示比率，不新建正式ID；保留缺端/缺日/0/未成熟状态。</x:v>
      </x:c>
      <x:c r="K18" s="14" t="str">
        <x:v>总体：afterFirstData1.loginCnt / registerCount</x:v>
      </x:c>
      <x:c r="L18" s="14" t="str">
        <x:v>与现有定义一致；按注册日期查询对应第N日登录人数；观察日结束且基数有效后计算。查询时间不是源数据水位。</x:v>
      </x:c>
      <x:c r="M18" s="14" t="str">
        <x:v>核心经营总览；获客与新增；活跃与留存；产品体验与启动质量</x:v>
      </x:c>
      <x:c r="N18" s="14" t="str">
        <x:v>全站指标体系.md（M020，v0.24-draft）；BI-产品需求文档.md:708；CoreOverviewDesignFixture.tsx；operating-detail-columns.ts；BI-产品需求文档.md:1072；acquisition-channel-quality.ts；BI-产品需求文档.md:1184；topic-preview-fixtures.ts:30；BI-产品需求文档.md:1741；version-performance-fixtures.ts:460；version-performance-fixtures.ts:504
首日注册用户数（version_registered_base）：BI-产品需求文档.md:1741；version-performance-fixtures.ts:501</x:v>
      </x:c>
      <x:c r="O18" s="14" t="str">
        <x:v>/api/admin/statistics/reletionsStatPlus/getDays
总体：afterFirstData1.loginCnt；registerCount
首日注册用户数：
未找到可直接使用的接口
—</x:v>
      </x:c>
      <x:c r="P18" s="14" t="str">
        <x:v>首日注册用户数：未支持【版本 / 版本未知；版本 × (Android / iOS)】单批用户（起始日）、各起始日趋势、多批次留存／复访率</x:v>
      </x:c>
    </x:row>
    <x:row r="19" ht="94" customHeight="1">
      <x:c r="A19" s="14" t="str">
        <x:v>M021</x:v>
      </x:c>
      <x:c r="B19" s="14" t="str">
        <x:v>注册用户D3留存率</x:v>
      </x:c>
      <x:c r="C19" s="14" t="str">
        <x:v>标准指标</x:v>
      </x:c>
      <x:c r="D19" s="14" t="str">
        <x:v>某日注册用户中第 3 天登录的人数占该日注册人数的比例；汇总卡片使用成熟注册批次的加权口径。</x:v>
      </x:c>
      <x:c r="E19" s="14" t="str">
        <x:v>D3登录的D0注册用户数 ÷ D0注册用户数</x:v>
      </x:c>
      <x:c r="F19" s="14" t="str">
        <x:v>%</x:v>
      </x:c>
      <x:c r="G19" s="14" t="str">
        <x:v>同一注册批次内，同一用户只计一次</x:v>
      </x:c>
      <x:c r="H19" s="14" t="str">
        <x:v>D0至D3；加权汇总；按 D0 Android / iOS 平台及自然新增 / 内部导量获客类型拆分，D3 回访允许跨平台</x:v>
      </x:c>
      <x:c r="I19" s="14" t="str">
        <x:v>未成熟Cohort</x:v>
      </x:c>
      <x:c r="J19" s="14" t="str">
        <x:v>现有页面有小数和百分比两种显示格式</x:v>
      </x:c>
      <x:c r="K19" s="14" t="str">
        <x:v>总体：afterFirstData3.loginCnt / registerCount</x:v>
      </x:c>
      <x:c r="L19" s="14" t="str">
        <x:v>与现有定义一致；按注册日期查询对应第N日登录人数；观察日结束且基数有效后计算。查询时间不是源数据水位。</x:v>
      </x:c>
      <x:c r="M19" s="14" t="str">
        <x:v>核心经营总览；获客与新增；活跃与留存</x:v>
      </x:c>
      <x:c r="N19" s="14" t="str">
        <x:v>全站指标体系.md（M021，v0.24-draft）；BI-产品需求文档.md:708；operating-detail-columns.ts；BI-产品需求文档.md:1072；acquisition-channel-quality.ts；BI-产品需求文档.md:1184；topic-preview-fixtures.ts:30</x:v>
      </x:c>
      <x:c r="O19" s="14" t="str">
        <x:v>/api/admin/statistics/reletionsStatPlus/getDays
总体：afterFirstData3.loginCnt；registerCount</x:v>
      </x:c>
      <x:c r="P19" s="14" t="str">
        <x:v>—</x:v>
      </x:c>
    </x:row>
    <x:row r="20" ht="94" customHeight="1">
      <x:c r="A20" s="14" t="str">
        <x:v>M022</x:v>
      </x:c>
      <x:c r="B20" s="14" t="str">
        <x:v>注册用户D7留存率</x:v>
      </x:c>
      <x:c r="C20" s="14" t="str">
        <x:v>标准指标</x:v>
      </x:c>
      <x:c r="D20" s="14" t="str">
        <x:v>某日注册用户中第 7 天登录的人数占该日注册人数的比例；汇总卡片使用成熟注册批次的加权口径。</x:v>
      </x:c>
      <x:c r="E20" s="14" t="str">
        <x:v>D7登录的D0注册用户数 ÷ D0注册用户数</x:v>
      </x:c>
      <x:c r="F20" s="14" t="str">
        <x:v>%</x:v>
      </x:c>
      <x:c r="G20" s="14" t="str">
        <x:v>同一注册批次内，同一用户只计一次</x:v>
      </x:c>
      <x:c r="H20" s="14" t="str">
        <x:v>D0至D7；加权汇总；按 D0 Android / iOS 平台及自然新增 / 内部导量获客类型拆分，D7 回访允许跨平台</x:v>
      </x:c>
      <x:c r="I20" s="14" t="str">
        <x:v>未成熟Cohort</x:v>
      </x:c>
      <x:c r="J20" s="14" t="str">
        <x:v>同上</x:v>
      </x:c>
      <x:c r="K20" s="14" t="str">
        <x:v>总体：afterFirstData7.loginCnt / registerCount</x:v>
      </x:c>
      <x:c r="L20" s="14" t="str">
        <x:v>与现有定义一致；按注册日期查询对应第N日登录人数；观察日结束且基数有效后计算。查询时间不是源数据水位。</x:v>
      </x:c>
      <x:c r="M20" s="14" t="str">
        <x:v>核心经营总览；获客与新增；活跃与留存</x:v>
      </x:c>
      <x:c r="N20" s="14" t="str">
        <x:v>全站指标体系.md（M022，v0.24-draft）；BI-产品需求文档.md:708；operating-detail-columns.ts；BI-产品需求文档.md:1072；acquisition-channel-quality.ts；BI-产品需求文档.md:1184；topic-preview-fixtures.ts:30</x:v>
      </x:c>
      <x:c r="O20" s="14" t="str">
        <x:v>/api/admin/statistics/reletionsStatPlus/getDays
总体：afterFirstData7.loginCnt；registerCount</x:v>
      </x:c>
      <x:c r="P20" s="14" t="str">
        <x:v>—</x:v>
      </x:c>
    </x:row>
    <x:row r="21" ht="62" customHeight="1">
      <x:c r="A21" s="14" t="str">
        <x:v>M023</x:v>
      </x:c>
      <x:c r="B21" s="14" t="str">
        <x:v>注册用户D30留存率</x:v>
      </x:c>
      <x:c r="C21" s="14" t="str">
        <x:v>标准指标</x:v>
      </x:c>
      <x:c r="D21" s="14" t="str">
        <x:v>某日注册用户中第 30 天登录的人数占该日注册人数的比例；只对已成熟注册批次计算加权结果。</x:v>
      </x:c>
      <x:c r="E21" s="14" t="str">
        <x:v>D30登录的D0注册用户数 ÷ D0注册用户数</x:v>
      </x:c>
      <x:c r="F21" s="14" t="str">
        <x:v>%</x:v>
      </x:c>
      <x:c r="G21" s="14" t="str">
        <x:v>同一注册批次内，同一用户只计一次</x:v>
      </x:c>
      <x:c r="H21" s="14" t="str">
        <x:v>D0至D30；加权汇总；按 D0 Android / iOS 平台及自然新增 / 内部导量获客类型拆分，D30 回访允许跨平台</x:v>
      </x:c>
      <x:c r="I21" s="14" t="str">
        <x:v>未成熟Cohort</x:v>
      </x:c>
      <x:c r="J21" s="14" t="str">
        <x:v>数据成熟慢，不能把观察中补0</x:v>
      </x:c>
      <x:c r="K21" s="14" t="str">
        <x:v>总体：afterFirstData30.loginCnt / registerCount</x:v>
      </x:c>
      <x:c r="L21" s="14" t="str">
        <x:v>增加Cohort成熟状态后再进入汇总；按注册日期查询对应第N日登录人数；观察日结束且基数有效后计算。查询时间不是源数据水位。</x:v>
      </x:c>
      <x:c r="M21" s="14" t="str">
        <x:v>获客与新增；活跃与留存</x:v>
      </x:c>
      <x:c r="N21" s="14" t="str">
        <x:v>全站指标体系.md（M023，v0.24-draft）；BI-产品需求文档.md:1072；acquisition-channel-quality.ts；BI-产品需求文档.md:1184；topic-preview-fixtures.ts:30</x:v>
      </x:c>
      <x:c r="O21" s="14" t="str">
        <x:v>/api/admin/statistics/reletionsStatPlus/getDays
总体：afterFirstData30.loginCnt；registerCount</x:v>
      </x:c>
      <x:c r="P21" s="14" t="str">
        <x:v>—</x:v>
      </x:c>
    </x:row>
    <x:row r="22" ht="190" customHeight="1">
      <x:c r="A22" s="14" t="str">
        <x:v>M024</x:v>
      </x:c>
      <x:c r="B22" s="14" t="str">
        <x:v>存量用户次日复访率</x:v>
      </x:c>
      <x:c r="C22" s="14" t="str">
        <x:v>标准指标</x:v>
      </x:c>
      <x:c r="D22" s="14" t="str">
        <x:v>注册满2天的当日活跃用户中次日仍活跃的比例</x:v>
      </x:c>
      <x:c r="E22" s="14" t="str">
        <x:v>次日仍活跃的老用户数 ÷ 当日日活跃用户数（老用户）
首日存量活跃用户数（人，计算输入）：D0老用户活跃去重数，版本按D0冻结
次日复访存量用户数（人，计算输入）：D0老用户活跃者中D1回访的去重人数</x:v>
      </x:c>
      <x:c r="F22" s="14" t="str">
        <x:v>%</x:v>
      </x:c>
      <x:c r="G22" s="14" t="str">
        <x:v>同一用户每天只计一次</x:v>
      </x:c>
      <x:c r="H22" s="14" t="str">
        <x:v>连续两个业务日；T+2</x:v>
      </x:c>
      <x:c r="I22" s="14" t="str">
        <x:v>当日新增用户、未成熟数据</x:v>
      </x:c>
      <x:c r="J22" s="14" t="str">
        <x:v>不能与新用户注册留存直接比较
M024同批分母，老用户按注册日早于D0。
同快照实名输入或展示比率，不新建正式ID；保留缺端/缺日/0/未成熟状态。
M024同批分子；不能拿另一天全部老用户活跃数替代。</x:v>
      </x:c>
      <x:c r="K22" s="14" t="str">
        <x:v>次日仍活跃的老用户数 ÷ 当日日活跃用户数（老用户）</x:v>
      </x:c>
      <x:c r="L22" s="14" t="str">
        <x:v>与现有定义一致</x:v>
      </x:c>
      <x:c r="M22" s="14" t="str">
        <x:v>活跃与留存；产品体验与启动质量</x:v>
      </x:c>
      <x:c r="N22" s="14" t="str">
        <x:v>全站指标体系.md（M024，v0.24-draft）；BI-产品需求文档.md:1184；topic-preview-fixtures.ts；BI-产品需求文档.md:1741；version-performance-fixtures.ts:460；version-performance-fixtures.ts:504
首日存量活跃用户数（version_existing_base）：BI-产品需求文档.md:1741；version-performance-fixtures.ts:501
次日复访存量用户数（version_existing_return）：BI-产品需求文档.md:1741；version-performance-fixtures.ts:501</x:v>
      </x:c>
      <x:c r="O22" s="14" t="str">
        <x:v>/api/admin/statistics/reletionsStatPlus/getDays；/api/admin/statistics/channel/channelStatByTypeV2
相关字段待核：sumDate；pid；registerCount；afterFirstData1.date；afterFirstData1.loginCnt；afterFirstData1.retentionRate；existingActiveUserCount；existingUserRevisitCount；existingUserRevisitRate
首日存量活跃用户数：
未找到可直接使用的接口
—
次日复访存量用户数：
未找到可直接使用的接口
—</x:v>
      </x:c>
      <x:c r="P22" s="14" t="str">
        <x:v>首日存量活跃用户数：未支持【版本 / 版本未知；版本 × (Android / iOS)】单批用户（起始日）、各起始日趋势、多批次留存／复访率
次日复访存量用户数：未支持【版本 / 版本未知；版本 × (Android / iOS)】单批用户（起始日）、各起始日趋势、多批次留存／复访率</x:v>
      </x:c>
    </x:row>
    <x:row r="23" ht="46" customHeight="1">
      <x:c r="A23" s="14" t="str">
        <x:v>M025</x:v>
      </x:c>
      <x:c r="B23" s="14" t="str">
        <x:v>72小时再次激活率</x:v>
      </x:c>
      <x:c r="C23" s="14" t="str">
        <x:v>标准指标</x:v>
      </x:c>
      <x:c r="D23" s="14" t="str">
        <x:v>首次体验失败用户中，结束后72小时内再次进入产品并完成有效观看的用户比例</x:v>
      </x:c>
      <x:c r="E23" s="14" t="str">
        <x:v>再激活成功人数 ÷ 首次体验失败人数</x:v>
      </x:c>
      <x:c r="F23" s="14" t="str">
        <x:v>%</x:v>
      </x:c>
      <x:c r="G23" s="14" t="str">
        <x:v>同一首次体验失败用户只计一次</x:v>
      </x:c>
      <x:c r="H23" s="14" t="str">
        <x:v>首次体验结束后滚动72小时，加迟到缓冲</x:v>
      </x:c>
      <x:c r="I23" s="14" t="str">
        <x:v>观察中窗口、72小时外激活</x:v>
      </x:c>
      <x:c r="J23" s="14" t="str">
        <x:v>依赖首次体验与有效观看规则版本，当前没有正式生产结果</x:v>
      </x:c>
      <x:c r="K23" s="14" t="str">
        <x:v>尚未接入</x:v>
      </x:c>
      <x:c r="L23" s="14" t="str">
        <x:v>首次体验失败用户中，结束后72小时内再次进入产品并完成有效观看的用户比例</x:v>
      </x:c>
      <x:c r="M23" s="14" t="str">
        <x:v>活跃与留存</x:v>
      </x:c>
      <x:c r="N23" s="14" t="str">
        <x:v>全站指标体系.md（M025，v0.24-draft）；BI-产品需求文档.md:1184；topic-preview-fixtures.ts</x:v>
      </x:c>
      <x:c r="O23" s="14" t="str">
        <x:v>未找到可直接使用的接口
—</x:v>
      </x:c>
      <x:c r="P23" s="14" t="str">
        <x:v>—</x:v>
      </x:c>
    </x:row>
    <x:row r="24" ht="142" customHeight="1">
      <x:c r="A24" s="14" t="str">
        <x:v>M026</x:v>
      </x:c>
      <x:c r="B24" s="14" t="str">
        <x:v>观影用户数</x:v>
      </x:c>
      <x:c r="C24" s="14" t="str">
        <x:v>标准指标</x:v>
      </x:c>
      <x:c r="D24" s="14" t="str">
        <x:v>统计日内有过视频播放行为的去重用户数</x:v>
      </x:c>
      <x:c r="E24" s="14" t="str">
        <x:v>发起过合法视频播放尝试的用户按业务日去重</x:v>
      </x:c>
      <x:c r="F24" s="14" t="str">
        <x:v>人</x:v>
      </x:c>
      <x:c r="G24" s="14" t="str">
        <x:v>同一用户在同一业务日最多计一次；同一播放尝试的重复上报不重复计算；跨业务日分别计数</x:v>
      </x:c>
      <x:c r="H24" s="14" t="str">
        <x:v>业务日、渠道、PID、平台、视频类型；按 Android / iOS、自然新增 / 内部导量、新用户 / 老用户查看</x:v>
      </x:c>
      <x:c r="I24" s="14" t="str">
        <x:v>预加载、重复开始、测试流量、非人工流量、身份缺失、非视频内容</x:v>
      </x:c>
      <x:c r="J24" s="14" t="str">
        <x:v>现有“播放上报”与 video_play_start 尚未完成同源验数；多日逐日相加得到 DM002 累计观影人天，不等于查询区间去重观影用户数</x:v>
      </x:c>
      <x:c r="K24" s="14" t="str">
        <x:v>老用户：oldUserWatchUserCount；Web：webWatchUserCount；Android：androidWatchUserCount；iOS：iosWatchUserCount；新用户：newUserWatchUserCount；总体：watchUserCount</x:v>
      </x:c>
      <x:c r="L24" s="14" t="str">
        <x:v>统计业务日内至少一次进入播放器并发起视频加载的去重用户数；不论首帧是否成功，也不要求达到有效观看标准；渠道统计V2的所选平台单日独立合计，不累计渠道层级明细。身份去重方式待验数。；采用后台日汇总对应切片的直接结果，不相加或推算总体；身份去重方式待验数。</x:v>
      </x:c>
      <x:c r="M24" s="14" t="str">
        <x:v>核心经营总览；视频消费表现；产品体验与启动质量</x:v>
      </x:c>
      <x:c r="N24" s="14" t="str">
        <x:v>全站指标体系.md（M026，v0.24-draft）；BI-产品需求文档.md:708；CoreOverviewDesignFixture.tsx；operating-detail-columns.ts；BI-产品需求文档.md:1288；TopicPreviews.tsx；BI-产品需求文档.md:1785</x:v>
      </x:c>
      <x:c r="O24" s="14" t="str">
        <x:v>/api/admin/statistics/channel/channelStatByTypeV2
老用户：oldUserWatchUserCount
/api/admin/statistics/pDaySum
Web：webWatchUserCount
Android：androidWatchUserCount
iOS：iosWatchUserCount
新用户：newUserWatchUserCount
总体：watchUserCount</x:v>
      </x:c>
      <x:c r="P24" s="14" t="str">
        <x:v>—</x:v>
      </x:c>
    </x:row>
    <x:row r="25" ht="46" customHeight="1">
      <x:c r="A25" s="14" t="str">
        <x:v>M030</x:v>
      </x:c>
      <x:c r="B25" s="14" t="str">
        <x:v>起播用户数</x:v>
      </x:c>
      <x:c r="C25" s="14" t="str">
        <x:v>标准指标</x:v>
      </x:c>
      <x:c r="D25" s="14" t="str">
        <x:v>视频首帧成功展示的用户数</x:v>
      </x:c>
      <x:c r="E25" s="14" t="str">
        <x:v>video_play_result.result_status=success 的用户数</x:v>
      </x:c>
      <x:c r="F25" s="14" t="str">
        <x:v>人</x:v>
      </x:c>
      <x:c r="G25" s="14" t="str">
        <x:v>同一用户在整个统计周期只计一次</x:v>
      </x:c>
      <x:c r="H25" s="14" t="str">
        <x:v>查询周期、渠道、PID、平台、视频类型</x:v>
      </x:c>
      <x:c r="I25" s="14" t="str">
        <x:v>只有开始无结果、重复结果</x:v>
      </x:c>
      <x:c r="J25" s="14" t="str">
        <x:v>技术参考文档仍以 operation_id 关联</x:v>
      </x:c>
      <x:c r="K25" s="14" t="str">
        <x:v>尚未接入</x:v>
      </x:c>
      <x:c r="L25" s="14" t="str">
        <x:v>至少有一次播放结果成功并真实出现首帧的去重用户数</x:v>
      </x:c>
      <x:c r="M25" s="14" t="str">
        <x:v>播放与观看质量</x:v>
      </x:c>
      <x:c r="N25" s="14" t="str">
        <x:v>全站指标体系.md（M030，v0.24-draft）；BI-产品需求文档.md:1522；extended-board-model.ts:119</x:v>
      </x:c>
      <x:c r="O25" s="14" t="str">
        <x:v>未找到可直接使用的接口
—</x:v>
      </x:c>
      <x:c r="P25" s="14" t="str">
        <x:v>—</x:v>
      </x:c>
    </x:row>
    <x:row r="26" ht="94" customHeight="1">
      <x:c r="A26" s="14" t="str">
        <x:v>M031</x:v>
      </x:c>
      <x:c r="B26" s="14" t="str">
        <x:v>起播率</x:v>
      </x:c>
      <x:c r="C26" s="14" t="str">
        <x:v>标准指标</x:v>
      </x:c>
      <x:c r="D26" s="14" t="str">
        <x:v>有效播放尝试中成功渲染第一帧画面的比例；本指标就是标准化后的“播放成功率”</x:v>
      </x:c>
      <x:c r="E26" s="14" t="str">
        <x:v>video_play_result.result_status=success 的播放尝试数 ÷ 成熟窗口内有效 video_play_start 次数</x:v>
      </x:c>
      <x:c r="F26" s="14" t="str">
        <x:v>%</x:v>
      </x:c>
      <x:c r="G26" s="14" t="str">
        <x:v>同一次播放尝试只计一次；重复结果不重复计算</x:v>
      </x:c>
      <x:c r="H26" s="14" t="str">
        <x:v>同业务日、渠道、平台、视频类型、触发方式、播放模式</x:v>
      </x:c>
      <x:c r="I26" s="14" t="str">
        <x:v>预加载、重复开始或结果、仍在终态等待窗口内的尝试</x:v>
      </x:c>
      <x:c r="J26" s="14" t="str">
        <x:v>历史后台可能按用户计算播放成功率，与本次按尝试计算的起播率不可直接拼接</x:v>
      </x:c>
      <x:c r="K26" s="14" t="str">
        <x:v>尚未接入</x:v>
      </x:c>
      <x:c r="L26" s="14" t="str">
        <x:v>有效播放尝试中成功渲染第一帧画面的比例；本指标就是标准化后的“播放成功率”</x:v>
      </x:c>
      <x:c r="M26" s="14" t="str">
        <x:v>核心经营总览；播放与观看质量；产品体验与启动质量</x:v>
      </x:c>
      <x:c r="N26" s="14" t="str">
        <x:v>全站指标体系.md（M031，v0.24-draft）；BI-产品需求文档.md:708；CoreOverviewDesignFixture.tsx；BI-产品需求文档.md:1522；extended-board-model.ts:119；BI-产品需求文档.md:1741；version-performance-fixtures.ts:460</x:v>
      </x:c>
      <x:c r="O26" s="14" t="str">
        <x:v>/api/admin/statistics/trackEventsReport/getEventStats；/api/admin/statistics/pDaySum
相关字段待核：videoClick；videoPlay；videoPlayEnd；watchUserCount；loginUserCount；androidLoginUserCount；iosLoginUserCount</x:v>
      </x:c>
      <x:c r="P26" s="14" t="str">
        <x:v>—</x:v>
      </x:c>
    </x:row>
    <x:row r="27" ht="46" customHeight="1">
      <x:c r="A27" s="14" t="str">
        <x:v>M032</x:v>
      </x:c>
      <x:c r="B27" s="14" t="str">
        <x:v>首帧耗时</x:v>
      </x:c>
      <x:c r="C27" s="14" t="str">
        <x:v>标准指标</x:v>
      </x:c>
      <x:c r="D27" s="14" t="str">
        <x:v>成功播放结果的首帧展示耗时分位数</x:v>
      </x:c>
      <x:c r="E27" s="14" t="str">
        <x:v>成功播放结果的 first_frame_duration_ms 分位数</x:v>
      </x:c>
      <x:c r="F27" s="14" t="str">
        <x:v>毫秒（分位数）</x:v>
      </x:c>
      <x:c r="G27" s="14" t="str">
        <x:v>同一次播放尝试只计一次，不按用户去重</x:v>
      </x:c>
      <x:c r="H27" s="14" t="str">
        <x:v>业务日、平台、版本、网络、视频类型</x:v>
      </x:c>
      <x:c r="I27" s="14" t="str">
        <x:v>失败播放、缺失耗时</x:v>
      </x:c>
      <x:c r="J27" s="14" t="str">
        <x:v>只看平均值会掩盖长尾</x:v>
      </x:c>
      <x:c r="K27" s="14" t="str">
        <x:v>尚未接入</x:v>
      </x:c>
      <x:c r="L27" s="14" t="str">
        <x:v>从有效播放开始到首帧成功渲染的耗时分布</x:v>
      </x:c>
      <x:c r="M27" s="14" t="str">
        <x:v>播放与观看质量</x:v>
      </x:c>
      <x:c r="N27" s="14" t="str">
        <x:v>全站指标体系.md（M032，v0.24-draft）；BI-产品需求文档.md:1522；ExtendedBoardPreview.tsx</x:v>
      </x:c>
      <x:c r="O27" s="14" t="str">
        <x:v>未找到可直接使用的接口
—</x:v>
      </x:c>
      <x:c r="P27" s="14" t="str">
        <x:v>—</x:v>
      </x:c>
    </x:row>
    <x:row r="28" ht="62" customHeight="1">
      <x:c r="A28" s="14" t="str">
        <x:v>M033</x:v>
      </x:c>
      <x:c r="B28" s="14" t="str">
        <x:v>首个视频页到达率</x:v>
      </x:c>
      <x:c r="C28" s="14" t="str">
        <x:v>标准指标</x:v>
      </x:c>
      <x:c r="D28" s="14" t="str">
        <x:v>Notion 技术字典未登记；其他现有资料显示后台已有同名或近似指标，但尚未提供可核对的统一技术定义。</x:v>
      </x:c>
      <x:c r="E28" s="14" t="str">
        <x:v>首次体验内到达视频页人数 ÷ 启动成功人数</x:v>
      </x:c>
      <x:c r="F28" s="14" t="str">
        <x:v>%</x:v>
      </x:c>
      <x:c r="G28" s="14" t="str">
        <x:v>同一首次启动用户只计一次</x:v>
      </x:c>
      <x:c r="H28" s="14" t="str">
        <x:v>首次体验窗口</x:v>
      </x:c>
      <x:c r="I28" s="14" t="str">
        <x:v>非视频业务页、重复页面到达</x:v>
      </x:c>
      <x:c r="J28" s="14" t="str">
        <x:v>技术方案依赖当前埋点未登记的 page_load_result</x:v>
      </x:c>
      <x:c r="K28" s="14" t="str">
        <x:v>尚未接入</x:v>
      </x:c>
      <x:c r="L28" s="14" t="str">
        <x:v>首次启动成功用户中到达首个视频业务页面的比例</x:v>
      </x:c>
      <x:c r="M28" s="14" t="str">
        <x:v>获客与新增</x:v>
      </x:c>
      <x:c r="N28" s="14" t="str">
        <x:v>全站指标体系.md（M033，v0.24-draft）；BI-产品需求文档.md:1072；AcquisitionPreview.tsx:90；acquisition-channel-quality.ts</x:v>
      </x:c>
      <x:c r="O28" s="14" t="str">
        <x:v>未找到可直接使用的接口
—</x:v>
      </x:c>
      <x:c r="P28" s="14" t="str">
        <x:v>—</x:v>
      </x:c>
    </x:row>
    <x:row r="29" ht="110" customHeight="1">
      <x:c r="A29" s="14" t="str">
        <x:v>M034</x:v>
      </x:c>
      <x:c r="B29" s="14" t="str">
        <x:v>有效观看次数</x:v>
      </x:c>
      <x:c r="C29" s="14" t="str">
        <x:v>标准指标</x:v>
      </x:c>
      <x:c r="D29" s="14" t="str">
        <x:v>按播放尝试标识去重后的次数，条件为结果成功且（实际前台观看时长至少 15 秒，或视频时长大于 0 且不足 15 秒且视频完整播放结束）</x:v>
      </x:c>
      <x:c r="E29" s="14" t="str">
        <x:v>COUNT(DISTINCT video_play_start.event_id)，条件为 result_status=success 且（watch_duration_ms&gt;=15000，或 0&lt;video_duration_ms&lt;15000 且 watch_end_reason=completed）</x:v>
      </x:c>
      <x:c r="F29" s="14" t="str">
        <x:v>次</x:v>
      </x:c>
      <x:c r="G29" s="14" t="str">
        <x:v>同一次播放尝试最多计为一次有效观看</x:v>
      </x:c>
      <x:c r="H29" s="14" t="str">
        <x:v>业务日、会话、渠道、内容、effective_play_rule_version</x:v>
      </x:c>
      <x:c r="I29" s="14" t="str">
        <x:v>缺少播放结果或观看汇总、暂停/缓冲/后台时长、重复事件、非视频内容</x:v>
      </x:c>
      <x:c r="J29" s="14" t="str">
        <x:v>短内容例外依赖可靠的 video_duration_ms 和 watch_end_reason</x:v>
      </x:c>
      <x:c r="K29" s="14" t="str">
        <x:v>尚未接入</x:v>
      </x:c>
      <x:c r="L29" s="14" t="str">
        <x:v>首帧成功后实际观看达到15秒，计为一次有效观看；视频不足15秒且完整播放，也计为一次</x:v>
      </x:c>
      <x:c r="M29" s="14" t="str">
        <x:v>视频消费表现</x:v>
      </x:c>
      <x:c r="N29" s="14" t="str">
        <x:v>全站指标体系.md（M034，v0.24-draft）；BI-产品需求文档.md:1288；topic-preview-fixtures.ts:102；TopicPreviews.tsx</x:v>
      </x:c>
      <x:c r="O29" s="14" t="str">
        <x:v>/api/admin/statistics/trackEventsReport/getEventStats；/api/admin/statistics/todayVideos/getMany；/api/admin/statistics/todayUsers/getMany；/api/admin/statistics/channel/channelStatByTypeV2
相关字段待核：videoPlay；videoPlayEnd；watchedCount；watchedUserCount；totalWatchTime；avgWatchTime；uid；sumDate；watchedTime；watchedVideoCount；watchCount；totalUserWatchTime；watchUserCount</x:v>
      </x:c>
      <x:c r="P29" s="14" t="str">
        <x:v>—</x:v>
      </x:c>
    </x:row>
    <x:row r="30" ht="110" customHeight="1">
      <x:c r="A30" s="14" t="str">
        <x:v>M035</x:v>
      </x:c>
      <x:c r="B30" s="14" t="str">
        <x:v>有效观影用户数</x:v>
      </x:c>
      <x:c r="C30" s="14" t="str">
        <x:v>标准指标</x:v>
      </x:c>
      <x:c r="D30" s="14" t="str">
        <x:v>按当前有效观看规则完成至少一次观看的去重用户数
有效观看：首帧成功展示，且实际前台观看至少 15 秒；不足 15 秒的视频（时长大于 0）须完整播放。仅统计同一有效观看规则下的记录。</x:v>
      </x:c>
      <x:c r="E30" s="14" t="str">
        <x:v>effective_play_flag=true 且 effective_play_rule_version=effective_play_v1 的去重用户数</x:v>
      </x:c>
      <x:c r="F30" s="14" t="str">
        <x:v>人</x:v>
      </x:c>
      <x:c r="G30" s="14" t="str">
        <x:v>同一用户在整个统计周期只计一次</x:v>
      </x:c>
      <x:c r="H30" s="14" t="str">
        <x:v>业务日、渠道、平台、内容类型、规则版本</x:v>
      </x:c>
      <x:c r="I30" s="14" t="str">
        <x:v>身份缺失、规则版本缺失、非人工流量</x:v>
      </x:c>
      <x:c r="J30" s="14" t="str">
        <x:v>当前正式埋点尚未上线，不能视为现有生产指标</x:v>
      </x:c>
      <x:c r="K30" s="14" t="str">
        <x:v>尚未接入</x:v>
      </x:c>
      <x:c r="L30" s="14" t="str">
        <x:v>统计周期内至少完成一次有效观看的去重用户数</x:v>
      </x:c>
      <x:c r="M30" s="14" t="str">
        <x:v>核心经营总览；视频消费表现</x:v>
      </x:c>
      <x:c r="N30" s="14" t="str">
        <x:v>全站指标体系.md（M035，v0.24-draft）；BI-产品需求文档.md:708；CoreOverviewDesignFixture.tsx；BI-产品需求文档.md:1288；topic-preview-fixtures.ts:102</x:v>
      </x:c>
      <x:c r="O30" s="14" t="str">
        <x:v>/api/admin/statistics/trackEventsReport/getEventStats；/api/admin/statistics/todayVideos/getMany；/api/admin/statistics/todayUsers/getMany；/api/admin/statistics/channel/channelStatByTypeV2
相关字段待核：videoPlay；videoPlayEnd；watchedCount；watchedUserCount；totalWatchTime；avgWatchTime；uid；sumDate；watchedTime；watchedVideoCount；watchCount；totalUserWatchTime；watchUserCount</x:v>
      </x:c>
      <x:c r="P30" s="14" t="str">
        <x:v>—</x:v>
      </x:c>
    </x:row>
    <x:row r="31" ht="126" customHeight="1">
      <x:c r="A31" s="14" t="str">
        <x:v>M036</x:v>
      </x:c>
      <x:c r="B31" s="14" t="str">
        <x:v>有效观影率</x:v>
      </x:c>
      <x:c r="C31" s="14" t="str">
        <x:v>标准指标</x:v>
      </x:c>
      <x:c r="D31" s="14" t="str">
        <x:v>成功起播的播放中，实际观看达到15秒的比例；视频不足15秒且完整播放，也算有效观看</x:v>
      </x:c>
      <x:c r="E31" s="14" t="str">
        <x:v>有效观看次数 ÷ 起播次数</x:v>
      </x:c>
      <x:c r="F31" s="14" t="str">
        <x:v>%</x:v>
      </x:c>
      <x:c r="G31" s="14" t="str">
        <x:v>同一次成功起播最多计一次；分子和分母使用相同统计范围</x:v>
      </x:c>
      <x:c r="H31" s="14" t="str">
        <x:v>业务日、渠道、PID、视频；按 Android / iOS、自然新增 / 内部导量、新用户 / 老用户查看</x:v>
      </x:c>
      <x:c r="I31" s="14" t="str">
        <x:v>未成功起播、仍在观察窗口、规则版本不一致、缺少观看汇总</x:v>
      </x:c>
      <x:c r="J31" s="14" t="str">
        <x:v>历史“有效观影用户数 ÷ 观影用户数（当时称播放尝试用户数）”是用户转化口径，与本指标的尝试级观看质量口径不同</x:v>
      </x:c>
      <x:c r="K31" s="14" t="str">
        <x:v>尚未接入</x:v>
      </x:c>
      <x:c r="L31" s="14" t="str">
        <x:v>成功起播的播放中，实际观看达到15秒的比例；视频不足15秒且完整播放，也算有效观看</x:v>
      </x:c>
      <x:c r="M31" s="14" t="str">
        <x:v>核心经营总览；视频消费表现；播放与观看质量；产品体验与启动质量</x:v>
      </x:c>
      <x:c r="N31" s="14" t="str">
        <x:v>全站指标体系.md（M036，v0.24-draft）；BI-产品需求文档.md:708；CoreOverviewDesignFixture.tsx；operating-detail-columns.ts；BI-产品需求文档.md:1288；TopicPreviews.tsx；BI-产品需求文档.md:1522；extended-board-model.ts:119；BI-产品需求文档.md:1741；version-performance-fixtures.ts:460</x:v>
      </x:c>
      <x:c r="O31" s="14" t="str">
        <x:v>/api/admin/statistics/trackEventsReport/getEventStats；/api/admin/statistics/pDaySum；/api/admin/statistics/todayVideos/getMany；/api/admin/statistics/todayUsers/getMany；/api/admin/statistics/channel/channelStatByTypeV2
相关字段待核：videoClick；videoPlay；videoPlayEnd；watchUserCount；loginUserCount；androidLoginUserCount；iosLoginUserCount；watchedCount；watchedUserCount；totalWatchTime；avgWatchTime；uid；sumDate；watchedTime；watchedVideoCount；watchCount；totalUserWatchTime</x:v>
      </x:c>
      <x:c r="P31" s="14" t="str">
        <x:v>—</x:v>
      </x:c>
    </x:row>
    <x:row r="32" ht="62" customHeight="1">
      <x:c r="A32" s="14" t="str">
        <x:v>M037</x:v>
      </x:c>
      <x:c r="B32" s="14" t="str">
        <x:v>新增用户-有效观影转化率</x:v>
      </x:c>
      <x:c r="C32" s="14" t="str">
        <x:v>标准指标</x:v>
      </x:c>
      <x:c r="D32" s="14" t="str">
        <x:v>新增用户中，在首次体验阶段至少完成一次有效观看的用户比例</x:v>
      </x:c>
      <x:c r="E32" s="14" t="str">
        <x:v>新增用户有效观影人数 ÷ 新增用户数</x:v>
      </x:c>
      <x:c r="F32" s="14" t="str">
        <x:v>%</x:v>
      </x:c>
      <x:c r="G32" s="14" t="str">
        <x:v>同一新增用户只计一次</x:v>
      </x:c>
      <x:c r="H32" s="14" t="str">
        <x:v>注册Cohort的首次体验窗口、规则版本</x:v>
      </x:c>
      <x:c r="I32" s="14" t="str">
        <x:v>老用户、窗口外观看、未成熟Cohort</x:v>
      </x:c>
      <x:c r="J32" s="14" t="str">
        <x:v>当前技术参考口径使用旧身份字段</x:v>
      </x:c>
      <x:c r="K32" s="14" t="str">
        <x:v>尚未接入</x:v>
      </x:c>
      <x:c r="L32" s="14" t="str">
        <x:v>新增用户中，在首次体验阶段至少完成一次有效观看的用户比例</x:v>
      </x:c>
      <x:c r="M32" s="14" t="str">
        <x:v>获客与新增</x:v>
      </x:c>
      <x:c r="N32" s="14" t="str">
        <x:v>全站指标体系.md（M037，v0.24-draft）；BI-产品需求文档.md:1072；AcquisitionPreview.tsx:90；acquisition-channel-quality.ts</x:v>
      </x:c>
      <x:c r="O32" s="14" t="str">
        <x:v>未找到可直接使用的接口
—</x:v>
      </x:c>
      <x:c r="P32" s="14" t="str">
        <x:v>—</x:v>
      </x:c>
    </x:row>
    <x:row r="33" ht="62" customHeight="1">
      <x:c r="A33" s="14" t="str">
        <x:v>M038</x:v>
      </x:c>
      <x:c r="B33" s="14" t="str">
        <x:v>二次有效观看用户数</x:v>
      </x:c>
      <x:c r="C33" s="14" t="str">
        <x:v>标准指标</x:v>
      </x:c>
      <x:c r="D33" s="14" t="str">
        <x:v>首次体验窗口内完成至少两次有效观看的去重用户数</x:v>
      </x:c>
      <x:c r="E33" s="14" t="str">
        <x:v>首次体验窗口内 session_effective_play_seq&gt;=2 的去重用户数</x:v>
      </x:c>
      <x:c r="F33" s="14" t="str">
        <x:v>人</x:v>
      </x:c>
      <x:c r="G33" s="14" t="str">
        <x:v>同一新增用户只计一次；同一次播放尝试不重复计算</x:v>
      </x:c>
      <x:c r="H33" s="14" t="str">
        <x:v>新用户首次体验窗口、规则版本</x:v>
      </x:c>
      <x:c r="I33" s="14" t="str">
        <x:v>同一播放重复记录、窗口外播放</x:v>
      </x:c>
      <x:c r="J33" s="14" t="str">
        <x:v>“首个Session”与当前 app_launch 触发规则不能简单等同</x:v>
      </x:c>
      <x:c r="K33" s="14" t="str">
        <x:v>尚未接入</x:v>
      </x:c>
      <x:c r="L33" s="14" t="str">
        <x:v>首次体验阶段内完成至少两次不同有效观看的新用户数</x:v>
      </x:c>
      <x:c r="M33" s="14" t="str">
        <x:v>获客与新增</x:v>
      </x:c>
      <x:c r="N33" s="14" t="str">
        <x:v>全站指标体系.md（M038，v0.24-draft）；BI-产品需求文档.md:1072；AcquisitionPreview.tsx:90；acquisition-channel-quality.ts</x:v>
      </x:c>
      <x:c r="O33" s="14" t="str">
        <x:v>未找到可直接使用的接口
—</x:v>
      </x:c>
      <x:c r="P33" s="14" t="str">
        <x:v>—</x:v>
      </x:c>
    </x:row>
    <x:row r="34" ht="206" customHeight="1">
      <x:c r="A34" s="14" t="str">
        <x:v>M040</x:v>
      </x:c>
      <x:c r="B34" s="14" t="str">
        <x:v>D1有效观影留存率</x:v>
      </x:c>
      <x:c r="C34" s="14" t="str">
        <x:v>标准指标</x:v>
      </x:c>
      <x:c r="D34" s="14" t="str">
        <x:v>首日有效观影用户中，次日再次有效观看的用户比例</x:v>
      </x:c>
      <x:c r="E34" s="14" t="str">
        <x:v>D1有效观看人数 ÷ D0有效观影人数
首次有效观看用户数（D0批次基数）（人，计算输入）：COUNT(DISTINCT user_id)，首次有效观看归入D0
再次有效观看用户数（人，计算输入）：COUNT(DISTINCT user_id)，D0用户在指定D+N再次有效观看</x:v>
      </x:c>
      <x:c r="F34" s="14" t="str">
        <x:v>%</x:v>
      </x:c>
      <x:c r="G34" s="14" t="str">
        <x:v>同一首日有效观影用户只计一次</x:v>
      </x:c>
      <x:c r="H34" s="14" t="str">
        <x:v>D0与D1业务日、规则版本；平台拆分为 Android / iOS，按 D0 首次有效观看平台归属，D1 再次有效观看允许跨平台</x:v>
      </x:c>
      <x:c r="I34" s="14" t="str">
        <x:v>仅打开未观看、未成熟Cohort、规则版本不一致</x:v>
      </x:c>
      <x:c r="J34" s="14" t="str">
        <x:v>与注册D1留存分母不同
M040–M042同批分母，首次有效规则与身份冻结一致。
同一D0首次有效观看用户批次三类互斥且覆盖完整基数；服务直接返回，禁止比率相减或拼接M016。
D0固定批次内去重，按D+N分别读；不能跨窗口相加。
M040/M041/M042的同批分子，非独立正式指标。</x:v>
      </x:c>
      <x:c r="K34" s="14" t="str">
        <x:v>尚未接入</x:v>
      </x:c>
      <x:c r="L34" s="14" t="str">
        <x:v>首日有效观影用户中，次日再次有效观看的用户比例</x:v>
      </x:c>
      <x:c r="M34" s="14" t="str">
        <x:v>视频消费表现</x:v>
      </x:c>
      <x:c r="N34" s="14" t="str">
        <x:v>全站指标体系.md（M040，v0.24-draft）；BI-产品需求文档.md:1288；watching-retention-diagnosis-model.ts
首次有效观看用户数（D0批次基数）（effective_cohort_base）：BI-产品需求文档.md:1288；watching-retention-diagnosis-model.ts
再次有效观看用户数（effective_return_users）：BI-产品需求文档.md:1288；watching-retention-diagnosis-model.ts</x:v>
      </x:c>
      <x:c r="O34" s="14" t="str">
        <x:v>/api/admin/statistics/reletionsStatPlus/getDays；/api/admin/statistics/reletionsStat/getDays；/api/admin/statistics/averageReletionsStat/getAverageReletions；/api/admin/statistics/todayUsers/getMany
相关字段待核：registerCount；afterFirstData1；afterFirstData3；afterFirstData7；registerDate/registerEdDate（请求参数）；sumDateStart/sumDateEnd（请求参数）；uid；sumDate；watchedTime；watchCount
首次有效观看用户数（D0批次基数）：
未找到可直接使用的接口
—
再次有效观看用户数：
未找到可直接使用的接口
—</x:v>
      </x:c>
      <x:c r="P34" s="14" t="str">
        <x:v>首次有效观看用户数（D0批次基数）：未支持【有效观看规则版本；(起始日为Android / 起始日为iOS / 起始日客户端未知 / 起始日为Web) × 有效观看规则版本；有效观看规则版本 × 次日／第3日／第7日】单批用户（起始日）、各起始日趋势、多批次留存／复访率
再次有效观看用户数：未支持【有效观看规则版本；(起始日为Android / 起始日为iOS / 起始日客户端未知 / 起始日为Web) × 有效观看规则版本；有效观看规则版本 × 次日／第3日／第7日】单批用户（起始日）、各起始日趋势、多批次留存／复访率</x:v>
      </x:c>
    </x:row>
    <x:row r="35" ht="206" customHeight="1">
      <x:c r="A35" s="14" t="str">
        <x:v>M041</x:v>
      </x:c>
      <x:c r="B35" s="14" t="str">
        <x:v>D3有效观影留存率</x:v>
      </x:c>
      <x:c r="C35" s="14" t="str">
        <x:v>标准指标</x:v>
      </x:c>
      <x:c r="D35" s="14" t="str">
        <x:v>首日有效观影用户中，第3天再次有效观看的用户比例</x:v>
      </x:c>
      <x:c r="E35" s="14" t="str">
        <x:v>D3有效观看人数 ÷ D0有效观影人数
首次有效观看用户数（D0批次基数）（人，计算输入）：COUNT(DISTINCT user_id)，首次有效观看归入D0
再次有效观看用户数（人，计算输入）：COUNT(DISTINCT user_id)，D0用户在指定D+N再次有效观看</x:v>
      </x:c>
      <x:c r="F35" s="14" t="str">
        <x:v>%</x:v>
      </x:c>
      <x:c r="G35" s="14" t="str">
        <x:v>同一首日有效观影用户只计一次</x:v>
      </x:c>
      <x:c r="H35" s="14" t="str">
        <x:v>D0至D3、规则版本；平台拆分为 Android / iOS，按 D0 首次有效观看平台归属，D3 再次有效观看允许跨平台</x:v>
      </x:c>
      <x:c r="I35" s="14" t="str">
        <x:v>仅打开未观看、未成熟Cohort、规则版本不一致</x:v>
      </x:c>
      <x:c r="J35" s="14" t="str">
        <x:v>与注册D3留存分母不同
M040–M042同批分母，首次有效规则与身份冻结一致。
同一D0首次有效观看用户批次三类互斥且覆盖完整基数；服务直接返回，禁止比率相减或拼接M016。
D0固定批次内去重，按D+N分别读；不能跨窗口相加。
M040/M041/M042的同批分子，非独立正式指标。</x:v>
      </x:c>
      <x:c r="K35" s="14" t="str">
        <x:v>尚未接入</x:v>
      </x:c>
      <x:c r="L35" s="14" t="str">
        <x:v>首日有效观影用户中，第3天再次有效观看的用户比例</x:v>
      </x:c>
      <x:c r="M35" s="14" t="str">
        <x:v>视频消费表现</x:v>
      </x:c>
      <x:c r="N35" s="14" t="str">
        <x:v>全站指标体系.md（M041，v0.24-draft）；BI-产品需求文档.md:1288；watching-retention-diagnosis-model.ts
首次有效观看用户数（D0批次基数）（effective_cohort_base）：BI-产品需求文档.md:1288；watching-retention-diagnosis-model.ts
再次有效观看用户数（effective_return_users）：BI-产品需求文档.md:1288；watching-retention-diagnosis-model.ts</x:v>
      </x:c>
      <x:c r="O35" s="14" t="str">
        <x:v>/api/admin/statistics/reletionsStatPlus/getDays；/api/admin/statistics/reletionsStat/getDays；/api/admin/statistics/averageReletionsStat/getAverageReletions；/api/admin/statistics/todayUsers/getMany
相关字段待核：registerCount；afterFirstData1；afterFirstData3；afterFirstData7；registerDate/registerEdDate（请求参数）；sumDateStart/sumDateEnd（请求参数）；uid；sumDate；watchedTime；watchCount
首次有效观看用户数（D0批次基数）：
未找到可直接使用的接口
—
再次有效观看用户数：
未找到可直接使用的接口
—</x:v>
      </x:c>
      <x:c r="P35" s="14" t="str">
        <x:v>首次有效观看用户数（D0批次基数）：未支持【有效观看规则版本；(起始日为Android / 起始日为iOS / 起始日客户端未知 / 起始日为Web) × 有效观看规则版本；有效观看规则版本 × 次日／第3日／第7日】单批用户（起始日）、各起始日趋势、多批次留存／复访率
再次有效观看用户数：未支持【有效观看规则版本；(起始日为Android / 起始日为iOS / 起始日客户端未知 / 起始日为Web) × 有效观看规则版本；有效观看规则版本 × 次日／第3日／第7日】单批用户（起始日）、各起始日趋势、多批次留存／复访率</x:v>
      </x:c>
    </x:row>
    <x:row r="36" ht="206" customHeight="1">
      <x:c r="A36" s="14" t="str">
        <x:v>M042</x:v>
      </x:c>
      <x:c r="B36" s="14" t="str">
        <x:v>D7有效观影留存率</x:v>
      </x:c>
      <x:c r="C36" s="14" t="str">
        <x:v>标准指标</x:v>
      </x:c>
      <x:c r="D36" s="14" t="str">
        <x:v>首日有效观影用户中，第7天再次有效观看的用户比例</x:v>
      </x:c>
      <x:c r="E36" s="14" t="str">
        <x:v>D7有效观看人数 ÷ D0有效观影人数
首次有效观看用户数（D0批次基数）（人，计算输入）：COUNT(DISTINCT user_id)，首次有效观看归入D0
再次有效观看用户数（人，计算输入）：COUNT(DISTINCT user_id)，D0用户在指定D+N再次有效观看</x:v>
      </x:c>
      <x:c r="F36" s="14" t="str">
        <x:v>%</x:v>
      </x:c>
      <x:c r="G36" s="14" t="str">
        <x:v>同一首日有效观影用户只计一次</x:v>
      </x:c>
      <x:c r="H36" s="14" t="str">
        <x:v>D0至D7、规则版本；平台拆分为 Android / iOS，按 D0 首次有效观看平台归属，D7 再次有效观看允许跨平台</x:v>
      </x:c>
      <x:c r="I36" s="14" t="str">
        <x:v>仅打开未观看、未成熟Cohort、规则版本不一致</x:v>
      </x:c>
      <x:c r="J36" s="14" t="str">
        <x:v>与注册D7留存分母不同
M040–M042同批分母，首次有效规则与身份冻结一致。
同一D0首次有效观看用户批次三类互斥且覆盖完整基数；服务直接返回，禁止比率相减或拼接M016。
D0固定批次内去重，按D+N分别读；不能跨窗口相加。
M040/M041/M042的同批分子，非独立正式指标。</x:v>
      </x:c>
      <x:c r="K36" s="14" t="str">
        <x:v>尚未接入</x:v>
      </x:c>
      <x:c r="L36" s="14" t="str">
        <x:v>首日有效观影用户中，第7天再次有效观看的用户比例</x:v>
      </x:c>
      <x:c r="M36" s="14" t="str">
        <x:v>视频消费表现</x:v>
      </x:c>
      <x:c r="N36" s="14" t="str">
        <x:v>全站指标体系.md（M042，v0.24-draft）；BI-产品需求文档.md:1288；watching-retention-diagnosis-model.ts
首次有效观看用户数（D0批次基数）（effective_cohort_base）：BI-产品需求文档.md:1288；watching-retention-diagnosis-model.ts
再次有效观看用户数（effective_return_users）：BI-产品需求文档.md:1288；watching-retention-diagnosis-model.ts</x:v>
      </x:c>
      <x:c r="O36" s="14" t="str">
        <x:v>/api/admin/statistics/reletionsStatPlus/getDays；/api/admin/statistics/reletionsStat/getDays；/api/admin/statistics/averageReletionsStat/getAverageReletions；/api/admin/statistics/todayUsers/getMany
相关字段待核：registerCount；afterFirstData1；afterFirstData3；afterFirstData7；registerDate/registerEdDate（请求参数）；sumDateStart/sumDateEnd（请求参数）；uid；sumDate；watchedTime；watchCount
首次有效观看用户数（D0批次基数）：
未找到可直接使用的接口
—
再次有效观看用户数：
未找到可直接使用的接口
—</x:v>
      </x:c>
      <x:c r="P36" s="14" t="str">
        <x:v>首次有效观看用户数（D0批次基数）：未支持【有效观看规则版本；(起始日为Android / 起始日为iOS / 起始日客户端未知 / 起始日为Web) × 有效观看规则版本；有效观看规则版本 × 次日／第3日／第7日】单批用户（起始日）、各起始日趋势、多批次留存／复访率
再次有效观看用户数：未支持【有效观看规则版本；(起始日为Android / 起始日为iOS / 起始日客户端未知 / 起始日为Web) × 有效观看规则版本；有效观看规则版本 × 次日／第3日／第7日】单批用户（起始日）、各起始日趋势、多批次留存／复访率</x:v>
      </x:c>
    </x:row>
    <x:row r="37" ht="110" customHeight="1">
      <x:c r="A37" s="14" t="str">
        <x:v>M043</x:v>
      </x:c>
      <x:c r="B37" s="14" t="str">
        <x:v>人均有效观看时长</x:v>
      </x:c>
      <x:c r="C37" s="14" t="str">
        <x:v>标准指标</x:v>
      </x:c>
      <x:c r="D37" s="14" t="str">
        <x:v>有效观影用户平均产生的实际前台观看时长</x:v>
      </x:c>
      <x:c r="E37" s="14" t="str">
        <x:v>effective_play_flag=true 记录的 watch_duration_ms 总和 ÷ 有效观影人数</x:v>
      </x:c>
      <x:c r="F37" s="14" t="str">
        <x:v>毫秒/人（展示可换算）</x:v>
      </x:c>
      <x:c r="G37" s="14" t="str">
        <x:v>每位有效观影用户只计一次；其有效观看时长累加</x:v>
      </x:c>
      <x:c r="H37" s="14" t="str">
        <x:v>业务日、渠道、平台、视频类型、规则版本</x:v>
      </x:c>
      <x:c r="I37" s="14" t="str">
        <x:v>暂停、缓冲、后台时长、规则版本不一致</x:v>
      </x:c>
      <x:c r="J37" s="14" t="str">
        <x:v>不能与“单次有效播放平均时长”混用</x:v>
      </x:c>
      <x:c r="K37" s="14" t="str">
        <x:v>尚未接入</x:v>
      </x:c>
      <x:c r="L37" s="14" t="str">
        <x:v>有效观影用户平均产生的实际前台观看时长</x:v>
      </x:c>
      <x:c r="M37" s="14" t="str">
        <x:v>视频消费表现</x:v>
      </x:c>
      <x:c r="N37" s="14" t="str">
        <x:v>全站指标体系.md（M043，v0.24-draft）；BI-产品需求文档.md:1288；topic-preview-fixtures.ts:102</x:v>
      </x:c>
      <x:c r="O37" s="14" t="str">
        <x:v>/api/admin/statistics/trackEventsReport/getEventStats；/api/admin/statistics/todayVideos/getMany；/api/admin/statistics/todayUsers/getMany；/api/admin/statistics/channel/channelStatByTypeV2
相关字段待核：videoPlay；videoPlayEnd；watchedCount；watchedUserCount；totalWatchTime；avgWatchTime；uid；sumDate；watchedTime；watchedVideoCount；watchCount；totalUserWatchTime；watchUserCount</x:v>
      </x:c>
      <x:c r="P37" s="14" t="str">
        <x:v>—</x:v>
      </x:c>
    </x:row>
    <x:row r="38" ht="78" customHeight="1">
      <x:c r="A38" s="14" t="str">
        <x:v>M044</x:v>
      </x:c>
      <x:c r="B38" s="14" t="str">
        <x:v>视频内容曝光-点击转化率</x:v>
      </x:c>
      <x:c r="C38" s="14" t="str">
        <x:v>标准指标</x:v>
      </x:c>
      <x:c r="D38" s="14" t="str">
        <x:v>视频卡片达到合格曝光后产生点击的比例</x:v>
      </x:c>
      <x:c r="E38" s="14" t="str">
        <x:v>匹配到合格曝光的点击数 ÷ 合格曝光数</x:v>
      </x:c>
      <x:c r="F38" s="14" t="str">
        <x:v>%</x:v>
      </x:c>
      <x:c r="G38" s="14" t="str">
        <x:v>同一次合格曝光及其匹配点击各只计一次</x:v>
      </x:c>
      <x:c r="H38" s="14" t="str">
        <x:v>同业务日、请求、列表、位置、策略、渠道、视频</x:v>
      </x:c>
      <x:c r="I38" s="14" t="str">
        <x:v>无对应曝光的快速点击、位置或策略错配</x:v>
      </x:c>
      <x:c r="J38" s="14" t="str">
        <x:v>不能把未匹配点击塞入分子</x:v>
      </x:c>
      <x:c r="K38" s="14" t="str">
        <x:v>尚未接入</x:v>
      </x:c>
      <x:c r="L38" s="14" t="str">
        <x:v>视频卡片达到合格曝光后产生点击的比例</x:v>
      </x:c>
      <x:c r="M38" s="14" t="str">
        <x:v>内容发现与互动</x:v>
      </x:c>
      <x:c r="N38" s="14" t="str">
        <x:v>全站指标体系.md（M044，v0.24-draft）；BI-产品需求文档.md:1590；ContentDiscoveryBoard.tsx</x:v>
      </x:c>
      <x:c r="O38" s="14" t="str">
        <x:v>/api/admin/statistics/trackEventsReport/getEventStats；/api/admin/statistics/ads/stat
相关字段待核：videoCount；videoClick；pid；reportDate；clickCount；clickedUid；skipCount；skipedUid；name；pos；url</x:v>
      </x:c>
      <x:c r="P38" s="14" t="str">
        <x:v>—</x:v>
      </x:c>
    </x:row>
    <x:row r="39" ht="62" customHeight="1">
      <x:c r="A39" s="14" t="str">
        <x:v>M046</x:v>
      </x:c>
      <x:c r="B39" s="14" t="str">
        <x:v>搜索结果-内容点击转化率</x:v>
      </x:c>
      <x:c r="C39" s="14" t="str">
        <x:v>标准指标</x:v>
      </x:c>
      <x:c r="D39" s="14" t="str">
        <x:v>成功返回搜索结果的查询中产生内容点击的比例</x:v>
      </x:c>
      <x:c r="E39" s="14" t="str">
        <x:v>有结果后产生内容点击的搜索数 ÷ 成功返回结果的搜索数</x:v>
      </x:c>
      <x:c r="F39" s="14" t="str">
        <x:v>%</x:v>
      </x:c>
      <x:c r="G39" s="14" t="str">
        <x:v>同一次搜索只计一次</x:v>
      </x:c>
      <x:c r="H39" s="14" t="str">
        <x:v>业务日、搜索类型、来源渠道、PID</x:v>
      </x:c>
      <x:c r="I39" s="14" t="str">
        <x:v>无结果查询、搜索ID缺失</x:v>
      </x:c>
      <x:c r="J39" s="14" t="str">
        <x:v>不宜用点击次数除查询人数</x:v>
      </x:c>
      <x:c r="K39" s="14" t="str">
        <x:v>尚未接入</x:v>
      </x:c>
      <x:c r="L39" s="14" t="str">
        <x:v>成功返回搜索结果的查询中产生内容点击的比例</x:v>
      </x:c>
      <x:c r="M39" s="14" t="str">
        <x:v>内容发现与互动</x:v>
      </x:c>
      <x:c r="N39" s="14" t="str">
        <x:v>全站指标体系.md（M046，v0.24-draft）；BI-产品需求文档.md:1590；content-discovery-analysis-model.ts:69；ContentDiscoveryBoard.tsx</x:v>
      </x:c>
      <x:c r="O39" s="14" t="str">
        <x:v>/api/admin/statistics/hotSearchWords/getMany；/api/admin/statistics/trackEventsReport/getEventStats
相关字段待核：words；searchCnt；videoClick</x:v>
      </x:c>
      <x:c r="P39" s="14" t="str">
        <x:v>—</x:v>
      </x:c>
    </x:row>
    <x:row r="40" ht="126" customHeight="1">
      <x:c r="A40" s="14" t="str">
        <x:v>M047</x:v>
      </x:c>
      <x:c r="B40" s="14" t="str">
        <x:v>点赞数</x:v>
      </x:c>
      <x:c r="C40" s="14" t="str">
        <x:v>标准指标</x:v>
      </x:c>
      <x:c r="D40" s="14" t="str">
        <x:v>点赞操作最终生效的结果数</x:v>
      </x:c>
      <x:c r="E40" s="14" t="str">
        <x:v>点赞操作最终生效的结果数</x:v>
      </x:c>
      <x:c r="F40" s="14" t="str">
        <x:v>次</x:v>
      </x:c>
      <x:c r="G40" s="14" t="str">
        <x:v>同一次点赞生效事实只计一次；同一用户对不同视频或不同时点的真实点赞分别计数</x:v>
      </x:c>
      <x:c r="H40" s="14" t="str">
        <x:v>业务日、视频、视频类型</x:v>
      </x:c>
      <x:c r="I40" s="14" t="str">
        <x:v>取消点赞、重复结果</x:v>
      </x:c>
      <x:c r="J40" s="14" t="str">
        <x:v>结果事件不能与单次点击精准配对</x:v>
      </x:c>
      <x:c r="K40" s="14" t="str">
        <x:v>尚未接入</x:v>
      </x:c>
      <x:c r="L40" s="14" t="str">
        <x:v>统计窗口内实际生效的点赞次数</x:v>
      </x:c>
      <x:c r="M40" s="14" t="str">
        <x:v>内容发现与互动</x:v>
      </x:c>
      <x:c r="N40" s="14" t="str">
        <x:v>全站指标体系.md（M047，v0.24-draft）；BI-产品需求文档.md:1590；ContentDiscoveryBoard.tsx</x:v>
      </x:c>
      <x:c r="O40" s="14" t="str">
        <x:v>/api/admin/statistics/todayVideos/getMany；/api/admin/statistics/todayVideos/getManyTotalSum；/api/admin/statistics/videoWatchRanking；/api/admin/statistics/todayVideos/getVideoStatsByCategories；/api/admin/statistics/trackEventsReport/getEventStats
相关字段待核：pid；sumDate；vid；videoName；likedCount；collectedCount；categories；分类/付费类型分组；_id；name；tags；likedCountRank；collectedCountRank；like；collect</x:v>
      </x:c>
      <x:c r="P40" s="14" t="str">
        <x:v>—</x:v>
      </x:c>
    </x:row>
    <x:row r="41" ht="126" customHeight="1">
      <x:c r="A41" s="14" t="str">
        <x:v>M048</x:v>
      </x:c>
      <x:c r="B41" s="14" t="str">
        <x:v>收藏数</x:v>
      </x:c>
      <x:c r="C41" s="14" t="str">
        <x:v>标准指标</x:v>
      </x:c>
      <x:c r="D41" s="14" t="str">
        <x:v>收藏操作最终生效的结果数</x:v>
      </x:c>
      <x:c r="E41" s="14" t="str">
        <x:v>收藏操作最终生效的结果数</x:v>
      </x:c>
      <x:c r="F41" s="14" t="str">
        <x:v>次</x:v>
      </x:c>
      <x:c r="G41" s="14" t="str">
        <x:v>同一次收藏生效事实只计一次；同一用户对不同视频或不同时点的真实收藏分别计数</x:v>
      </x:c>
      <x:c r="H41" s="14" t="str">
        <x:v>业务日、视频、视频类型</x:v>
      </x:c>
      <x:c r="I41" s="14" t="str">
        <x:v>取消收藏、重复结果</x:v>
      </x:c>
      <x:c r="J41" s="14" t="str">
        <x:v>结果事件不能与单次点击精准配对</x:v>
      </x:c>
      <x:c r="K41" s="14" t="str">
        <x:v>尚未接入</x:v>
      </x:c>
      <x:c r="L41" s="14" t="str">
        <x:v>统计窗口内实际生效的收藏次数</x:v>
      </x:c>
      <x:c r="M41" s="14" t="str">
        <x:v>内容发现与互动</x:v>
      </x:c>
      <x:c r="N41" s="14" t="str">
        <x:v>全站指标体系.md（M048，v0.24-draft）；BI-产品需求文档.md:1590；ContentDiscoveryBoard.tsx</x:v>
      </x:c>
      <x:c r="O41" s="14" t="str">
        <x:v>/api/admin/statistics/todayVideos/getMany；/api/admin/statistics/todayVideos/getManyTotalSum；/api/admin/statistics/videoWatchRanking；/api/admin/statistics/todayVideos/getVideoStatsByCategories；/api/admin/statistics/trackEventsReport/getEventStats
相关字段待核：pid；sumDate；vid；videoName；likedCount；collectedCount；categories；分类/付费类型分组；_id；name；tags；likedCountRank；collectedCountRank；like；collect</x:v>
      </x:c>
      <x:c r="P41" s="14" t="str">
        <x:v>—</x:v>
      </x:c>
    </x:row>
    <x:row r="42" ht="78" customHeight="1">
      <x:c r="A42" s="14" t="str">
        <x:v>M049</x:v>
      </x:c>
      <x:c r="B42" s="14" t="str">
        <x:v>作者关注生效用户数</x:v>
      </x:c>
      <x:c r="C42" s="14" t="str">
        <x:v>标准指标</x:v>
      </x:c>
      <x:c r="D42" s="14" t="str">
        <x:v>关注作者操作生效且激活的用户数</x:v>
      </x:c>
      <x:c r="E42" s="14" t="str">
        <x:v>author_interaction_result.action_id=follow_author 且激活的用户数</x:v>
      </x:c>
      <x:c r="F42" s="14" t="str">
        <x:v>人</x:v>
      </x:c>
      <x:c r="G42" s="14" t="str">
        <x:v>同一用户在整个统计周期只计一次</x:v>
      </x:c>
      <x:c r="H42" s="14" t="str">
        <x:v>业务日、作者</x:v>
      </x:c>
      <x:c r="I42" s="14" t="str">
        <x:v>取消关注、重复结果</x:v>
      </x:c>
      <x:c r="J42" s="14" t="str">
        <x:v>作者结果事件不带来源视频或来源点击</x:v>
      </x:c>
      <x:c r="K42" s="14" t="str">
        <x:v>尚未接入</x:v>
      </x:c>
      <x:c r="L42" s="14" t="str">
        <x:v>统计窗口内至少成功关注一个作者的去重用户数</x:v>
      </x:c>
      <x:c r="M42" s="14" t="str">
        <x:v>内容发现与互动</x:v>
      </x:c>
      <x:c r="N42" s="14" t="str">
        <x:v>全站指标体系.md（M049，v0.24-draft）；BI-产品需求文档.md:1590；ContentDiscoveryBoard.tsx</x:v>
      </x:c>
      <x:c r="O42" s="14" t="str">
        <x:v>/api/admin/statistics/todayUsers/getMany；/api/admin/statistics/todayCircles/getMany
相关字段待核：uid；sumDate；watchedTime；watchCount；adsCount；navCount；circleId；watchedCount；likedCount；collectedCount</x:v>
      </x:c>
      <x:c r="P42" s="14" t="str">
        <x:v>—</x:v>
      </x:c>
    </x:row>
    <x:row r="43" ht="94" customHeight="1">
      <x:c r="A43" s="14" t="str">
        <x:v>M050</x:v>
      </x:c>
      <x:c r="B43" s="14" t="str">
        <x:v>社区帖子曝光-点击转化率</x:v>
      </x:c>
      <x:c r="C43" s="14" t="str">
        <x:v>标准指标</x:v>
      </x:c>
      <x:c r="D43" s="14" t="str">
        <x:v>合格曝光的社区帖子产生点击的比例</x:v>
      </x:c>
      <x:c r="E43" s="14" t="str">
        <x:v>匹配曝光的帖子点击数 ÷ 帖子合格曝光数</x:v>
      </x:c>
      <x:c r="F43" s="14" t="str">
        <x:v>%</x:v>
      </x:c>
      <x:c r="G43" s="14" t="str">
        <x:v>同一次合格曝光及其匹配点击各只计一次</x:v>
      </x:c>
      <x:c r="H43" s="14" t="str">
        <x:v>业务日、列表、位置、帖子</x:v>
      </x:c>
      <x:c r="I43" s="14" t="str">
        <x:v>无曝光匹配的点击、重复曝光</x:v>
      </x:c>
      <x:c r="J43" s="14" t="str">
        <x:v>需要保持列表位置键一致</x:v>
      </x:c>
      <x:c r="K43" s="14" t="str">
        <x:v>尚未接入</x:v>
      </x:c>
      <x:c r="L43" s="14" t="str">
        <x:v>合格曝光的社区帖子产生点击的比例</x:v>
      </x:c>
      <x:c r="M43" s="14" t="str">
        <x:v>内容发现与互动</x:v>
      </x:c>
      <x:c r="N43" s="14" t="str">
        <x:v>全站指标体系.md（M050，v0.24-draft）；BI-产品需求文档.md:1590；ContentDiscoveryBoard.tsx</x:v>
      </x:c>
      <x:c r="O43" s="14" t="str">
        <x:v>/api/admin/statistics/todayCircles/getMany；/api/admin/statistics/todayCircles/getManyTotalSum；/api/admin/snapshotManager/getMany
相关字段待核：circleId；circleName；watchedCount；watchedUserCount；likedCount；collectedCount；圈子汇总原始行；snapshotId；viewCnt；likedCnt；collectedCnt；commentCnt；releaseDate</x:v>
      </x:c>
      <x:c r="P43" s="14" t="str">
        <x:v>—</x:v>
      </x:c>
    </x:row>
    <x:row r="44" ht="62" customHeight="1">
      <x:c r="A44" s="14" t="str">
        <x:v>M051</x:v>
      </x:c>
      <x:c r="B44" s="14" t="str">
        <x:v>评论提交用户数</x:v>
      </x:c>
      <x:c r="C44" s="14" t="str">
        <x:v>标准指标</x:v>
      </x:c>
      <x:c r="D44" s="14" t="str">
        <x:v>存在合法评论提交事实的去重用户数</x:v>
      </x:c>
      <x:c r="E44" s="14" t="str">
        <x:v>存在合法评论提交事实的去重用户数</x:v>
      </x:c>
      <x:c r="F44" s="14" t="str">
        <x:v>人</x:v>
      </x:c>
      <x:c r="G44" s="14" t="str">
        <x:v>同一用户在整个统计周期只计一次</x:v>
      </x:c>
      <x:c r="H44" s="14" t="str">
        <x:v>业务日、内容类型、内容ID</x:v>
      </x:c>
      <x:c r="I44" s="14" t="str">
        <x:v>空内容、客户端校验未通过、重复提交</x:v>
      </x:c>
      <x:c r="J44" s="14" t="str">
        <x:v>提交不等于服务端发布成功</x:v>
      </x:c>
      <x:c r="K44" s="14" t="str">
        <x:v>尚未接入</x:v>
      </x:c>
      <x:c r="L44" s="14" t="str">
        <x:v>统计窗口内提交过评论的去重用户数</x:v>
      </x:c>
      <x:c r="M44" s="14" t="str">
        <x:v>内容发现与互动</x:v>
      </x:c>
      <x:c r="N44" s="14" t="str">
        <x:v>全站指标体系.md（M051，v0.24-draft）；BI-产品需求文档.md:1590；ContentDiscoveryBoard.tsx</x:v>
      </x:c>
      <x:c r="O44" s="14" t="str">
        <x:v>/api/admin/statistics/trackEventsReport/getEventStats；/api/admin/snapshotManager/getMany
相关字段待核：comments；commentCnt；snapshotId；releaseDate</x:v>
      </x:c>
      <x:c r="P44" s="14" t="str">
        <x:v>—</x:v>
      </x:c>
    </x:row>
    <x:row r="45" ht="126" customHeight="1">
      <x:c r="A45" s="14" t="str">
        <x:v>M052</x:v>
      </x:c>
      <x:c r="B45" s="14" t="str">
        <x:v>底部导航Tab渗透率</x:v>
      </x:c>
      <x:c r="C45" s="14" t="str">
        <x:v>标准指标</x:v>
      </x:c>
      <x:c r="D45" s="14" t="str">
        <x:v>活跃用户中点击过指定底部分类标签的比例</x:v>
      </x:c>
      <x:c r="E45" s="14" t="str">
        <x:v>指定Tab点击用户数 ÷ 活跃用户数
同范围活跃用户基数（人，计算输入）：COUNT(DISTINCT active user_id)，与导航分子同范围</x:v>
      </x:c>
      <x:c r="F45" s="14" t="str">
        <x:v>%</x:v>
      </x:c>
      <x:c r="G45" s="14" t="str">
        <x:v>同一用户每天只计一次</x:v>
      </x:c>
      <x:c r="H45" s="14" t="str">
        <x:v>按业务平台、日期及Tab读取总体；保留单日、逐日、合法周期及两期比较。</x:v>
      </x:c>
      <x:c r="I45" s="14" t="str">
        <x:v>默认首页自动进入、重复点击</x:v>
      </x:c>
      <x:c r="J45" s="14" t="str">
        <x:v>分母需明确登录DAU还是全访问用户
仅底部Tab点击事实；导航广告不能替代Tab点击，广告IP数不能作为点击账号UV。
引用M016对应范围；区间去重人数不可由DAU相加获得。
M052配套输入/派生：频次=点击次数÷点击UV；不新建正式指标，不平均每日人均值，跨TabUV不能相加。</x:v>
      </x:c>
      <x:c r="K45" s="14" t="str">
        <x:v>尚未接入</x:v>
      </x:c>
      <x:c r="L45" s="14" t="str">
        <x:v>补Tab稳定ID、名称、位置、点击次数、去重点击人数及同范围活跃分母；区间人数独立去重。BI计算渗透率、人均及两期变化，不做客户端／新老拆分。</x:v>
      </x:c>
      <x:c r="M45" s="14" t="str">
        <x:v>功能使用概览</x:v>
      </x:c>
      <x:c r="N45" s="14" t="str">
        <x:v>全站指标体系.md（M052，v0.24-draft）；BI-产品需求文档.md:940；global-navigation-usage-model.ts:9
同范围活跃用户基数（navigation_active_base）：BI-产品需求文档.md:940；global-navigation-usage-model.ts:9</x:v>
      </x:c>
      <x:c r="O45" s="14" t="str">
        <x:v>/api/admin/statistics/navs；/api/admin/statistics/pDaySum；/api/admin/statistics/adsAndNavsStat
相关字段待核：navMark；name；cateName；pos；navClickTotalCount；navClickIpsCount；loginUserCount；广告/导航类型；category；clickCount；totalClickCount
同范围活跃用户基数：
/api/admin/statistics/pDaySum
M016候选：loginUserCount（须核对相同身份、日期及用户范围）</x:v>
      </x:c>
      <x:c r="P45" s="14" t="str">
        <x:v>同范围活跃用户基数：未支持【底部导航Tab】单日、逐日趋势、区间去重人数、日均</x:v>
      </x:c>
    </x:row>
    <x:row r="46" ht="126" customHeight="1">
      <x:c r="A46" s="14" t="str">
        <x:v>M055</x:v>
      </x:c>
      <x:c r="B46" s="14" t="str">
        <x:v>广告点击次数</x:v>
      </x:c>
      <x:c r="C46" s="14" t="str">
        <x:v>标准指标</x:v>
      </x:c>
      <x:c r="D46" s="14" t="str">
        <x:v>用户真实点击广告的次数</x:v>
      </x:c>
      <x:c r="E46" s="14" t="str">
        <x:v>广告点击记录数</x:v>
      </x:c>
      <x:c r="F46" s="14" t="str">
        <x:v>次</x:v>
      </x:c>
      <x:c r="G46" s="14" t="str">
        <x:v>每次真实点击都计一次；重复日志不重复计算</x:v>
      </x:c>
      <x:c r="H46" s="14" t="str">
        <x:v>业务日、广告位、素材、渠道</x:v>
      </x:c>
      <x:c r="I46" s="14" t="str">
        <x:v>自动跳转、跳过动作、重复发送</x:v>
      </x:c>
      <x:c r="J46" s="14" t="str">
        <x:v>现有后台同时有点击人数和次数，跨页面口径需验数</x:v>
      </x:c>
      <x:c r="K46" s="14" t="str">
        <x:v>新用户 × 导航广告：navClickedNewCount；新用户 × 后台总点击：newUserTotalClickedCount；新用户 × 广告：adsClickedNewCount；广告：adsCount；导航广告：navCount；后台总点击：totalClickedCount</x:v>
      </x:c>
      <x:c r="L46" s="14" t="str">
        <x:v>与现有定义一致；采用后台日汇总对应切片的直接结果，不相加或推算总体；身份去重方式待验数。</x:v>
      </x:c>
      <x:c r="M46" s="14" t="str">
        <x:v>核心经营总览</x:v>
      </x:c>
      <x:c r="N46" s="14" t="str">
        <x:v>全站指标体系.md（M055，v0.24-draft）；BI-产品需求文档.md:708；AdvertisingOverview.tsx；operating-detail-columns.ts</x:v>
      </x:c>
      <x:c r="O46" s="14" t="str">
        <x:v>/api/admin/statistics/pDaySum
新用户 × 导航广告：navClickedNewCount
新用户 × 后台总点击：newUserTotalClickedCount
新用户 × 广告：adsClickedNewCount
广告：adsCount
导航广告：navCount
后台总点击：totalClickedCount</x:v>
      </x:c>
      <x:c r="P46" s="14" t="str">
        <x:v>—</x:v>
      </x:c>
    </x:row>
    <x:row r="47" ht="126" customHeight="1">
      <x:c r="A47" s="14" t="str">
        <x:v>M058</x:v>
      </x:c>
      <x:c r="B47" s="14" t="str">
        <x:v>总充值金额</x:v>
      </x:c>
      <x:c r="C47" s="14" t="str">
        <x:v>标准指标</x:v>
      </x:c>
      <x:c r="D47" s="14" t="str">
        <x:v>页面一、页面二累计全部在线充值成功金额，包含 VIP 与金币并按支付时间归日；渠道汇总页会排除钻石代付。</x:v>
      </x:c>
      <x:c r="E47" s="14" t="str">
        <x:v>支付成功订单金额累加</x:v>
      </x:c>
      <x:c r="F47" s="14" t="str">
        <x:v>元</x:v>
      </x:c>
      <x:c r="G47" s="14" t="str">
        <x:v>同一订单只计一次，金额累加</x:v>
      </x:c>
      <x:c r="H47" s="14" t="str">
        <x:v>支付成功业务日、渠道、平台、币种、商品类型</x:v>
      </x:c>
      <x:c r="I47" s="14" t="str">
        <x:v>失败、重复回调、未到账订单</x:v>
      </x:c>
      <x:c r="J47" s="14" t="str">
        <x:v>渠道汇总页面排除钻石代付，与其他页面存在差异</x:v>
      </x:c>
      <x:c r="K47" s="14" t="str">
        <x:v>新用户 × 自然新增：natureChargeAmt；新用户 × 内部导量：channelInternalChargeAmt；新用户：newUserDiamondChargeAmt；总体：diamondChargeAmt</x:v>
      </x:c>
      <x:c r="L47" s="14" t="str">
        <x:v>先保留各页面现有范围；统一前需确认代付与退款口径；金额为人民币元，保留接口数值；金额覆盖范围与业务时间归属待验数。纯金额按所选完整业务日提供合计及日均，人均金额不平均，不跨平台汇总。</x:v>
      </x:c>
      <x:c r="M47" s="14" t="str">
        <x:v>核心经营总览；获客与新增；会员与付费经营；支付链路与到账质量</x:v>
      </x:c>
      <x:c r="N47" s="14" t="str">
        <x:v>全站指标体系.md（M058，v0.24-draft）；BI-产品需求文档.md:708；CoreOverviewDesignFixture.tsx；operating-detail-columns.ts；BI-产品需求文档.md:1072；acquisition-channel-quality.ts；BI-产品需求文档.md:1384；extended-board-model.ts:119；PaymentBreakdowns.tsx:60；PaymentBreakdowns.tsx:80；BI-产品需求文档.md:1484；payment-order-reading.ts</x:v>
      </x:c>
      <x:c r="O47" s="14" t="str">
        <x:v>/api/admin/statistics/channel/channelStatByTypeV2
新用户 × 自然新增：natureChargeAmt
新用户 × 内部导量：channelInternalChargeAmt
/api/admin/statistics/pDaySum
新用户：newUserDiamondChargeAmt
总体：diamondChargeAmt</x:v>
      </x:c>
      <x:c r="P47" s="14" t="str">
        <x:v>—</x:v>
      </x:c>
    </x:row>
    <x:row r="48" ht="126" customHeight="1">
      <x:c r="A48" s="14" t="str">
        <x:v>M059</x:v>
      </x:c>
      <x:c r="B48" s="14" t="str">
        <x:v>付费用户数</x:v>
      </x:c>
      <x:c r="C48" s="14" t="str">
        <x:v>标准指标</x:v>
      </x:c>
      <x:c r="D48" s="14" t="str">
        <x:v>至少有一笔充值成功的去重用户数</x:v>
      </x:c>
      <x:c r="E48" s="14" t="str">
        <x:v>成功充值用户 uid 去重</x:v>
      </x:c>
      <x:c r="F48" s="14" t="str">
        <x:v>人</x:v>
      </x:c>
      <x:c r="G48" s="14" t="str">
        <x:v>同一付费用户每天只计一次；多日查询时对整个周期重新去重</x:v>
      </x:c>
      <x:c r="H48" s="14" t="str">
        <x:v>支付成功业务日、渠道、平台</x:v>
      </x:c>
      <x:c r="I48" s="14" t="str">
        <x:v>失败、未到账、重复订单</x:v>
      </x:c>
      <x:c r="J48" s="14" t="str">
        <x:v>多天按日相加会虚高</x:v>
      </x:c>
      <x:c r="K48" s="14" t="str">
        <x:v>总体：totalChargeUserCount；新用户：newUserChargeUserCount</x:v>
      </x:c>
      <x:c r="L48" s="14" t="str">
        <x:v>与现有定义一致；采用后台日汇总对应切片的直接结果，不相加或推算总体；身份去重方式待验数。</x:v>
      </x:c>
      <x:c r="M48" s="14" t="str">
        <x:v>核心经营总览；获客与新增；会员与付费经营；支付链路与到账质量</x:v>
      </x:c>
      <x:c r="N48" s="14" t="str">
        <x:v>全站指标体系.md（M059，v0.24-draft）；BI-产品需求文档.md:708；CoreOverviewDesignFixture.tsx；operating-detail-columns.ts；BI-产品需求文档.md:1072；acquisition-channel-quality.ts；BI-产品需求文档.md:1384；extended-board-model.ts:119；PaymentBreakdowns.tsx:60；BI-产品需求文档.md:1484；payment-order-reading.ts</x:v>
      </x:c>
      <x:c r="O48" s="14" t="str">
        <x:v>/api/admin/statistics/pDaySum
总体：totalChargeUserCount
新用户：newUserChargeUserCount</x:v>
      </x:c>
      <x:c r="P48" s="14" t="str">
        <x:v>—</x:v>
      </x:c>
    </x:row>
    <x:row r="49" ht="78" customHeight="1">
      <x:c r="A49" s="14" t="str">
        <x:v>M060</x:v>
      </x:c>
      <x:c r="B49" s="14" t="str">
        <x:v>支付成功订单数</x:v>
      </x:c>
      <x:c r="C49" s="14" t="str">
        <x:v>标准指标</x:v>
      </x:c>
      <x:c r="D49" s="14" t="str">
        <x:v>渠道汇总页字段名为“总充值人数”，实际统计查询区间内的充值订单笔数；逸品日报另以“总充值成功次数”展示成功订单量，并按支付宝、微信拆分。</x:v>
      </x:c>
      <x:c r="E49" s="14" t="str">
        <x:v>成功支付订单记录数</x:v>
      </x:c>
      <x:c r="F49" s="14" t="str">
        <x:v>次</x:v>
      </x:c>
      <x:c r="G49" s="14" t="str">
        <x:v>同一支付订单只计一次</x:v>
      </x:c>
      <x:c r="H49" s="14" t="str">
        <x:v>支付成功业务日、渠道、平台、支付方式</x:v>
      </x:c>
      <x:c r="I49" s="14" t="str">
        <x:v>失败、重复回调</x:v>
      </x:c>
      <x:c r="J49" s="14" t="str">
        <x:v>两个现有页面名称不同，且日报成功终点尚未与支付回调状态验数，不能仅凭字段名判定完全同源</x:v>
      </x:c>
      <x:c r="K49" s="14" t="str">
        <x:v>总体：totalSurCount；支付宝：aliTotalSucCount；微信：wxTotalSucCount</x:v>
      </x:c>
      <x:c r="L49" s="14" t="str">
        <x:v>统一使用“支付成功订单数”；日报“总充值成功次数”验数一致后作为同一指标的报表别名；支付通道统计的同日拉单及成功计数；日比率不等同于同批订单的有序漏斗。时间归属和成功阶段待验数；仅返回所选业务平台，排除全平台字段。</x:v>
      </x:c>
      <x:c r="M49" s="14" t="str">
        <x:v>核心经营总览；会员与付费经营；支付链路与到账质量</x:v>
      </x:c>
      <x:c r="N49" s="14" t="str">
        <x:v>全站指标体系.md（M060，v0.24-draft）；BI-产品需求文档.md:708；operating-detail-columns.ts；BI-产品需求文档.md:1384；extended-board-model.ts；BI-产品需求文档.md:1484；payment-order-reading.ts</x:v>
      </x:c>
      <x:c r="O49" s="14" t="str">
        <x:v>/api/admin/consumptionMgr/payChannel/getRechargeSucRate
总体：totalSurCount
支付宝：aliTotalSucCount
微信：wxTotalSucCount</x:v>
      </x:c>
      <x:c r="P49" s="14" t="str">
        <x:v>—</x:v>
      </x:c>
    </x:row>
    <x:row r="50" ht="126" customHeight="1">
      <x:c r="A50" s="14" t="str">
        <x:v>M061</x:v>
      </x:c>
      <x:c r="B50" s="14" t="str">
        <x:v>活跃用户-付费转化率</x:v>
      </x:c>
      <x:c r="C50" s="14" t="str">
        <x:v>标准指标</x:v>
      </x:c>
      <x:c r="D50" s="14" t="str">
        <x:v>活跃用户中当天付费的比例</x:v>
      </x:c>
      <x:c r="E50" s="14" t="str">
        <x:v>付费用户数 ÷ 日活跃用户数
支付方式同范围活跃用户基数（人，计算输入）：COUNT(DISTINCT active user_id)，限定同一合法用户范围</x:v>
      </x:c>
      <x:c r="F50" s="14" t="str">
        <x:v>%</x:v>
      </x:c>
      <x:c r="G50" s="14" t="str">
        <x:v>付费用户和活跃用户均按同一用户、同一天去重</x:v>
      </x:c>
      <x:c r="H50" s="14" t="str">
        <x:v>业务日、渠道、平台</x:v>
      </x:c>
      <x:c r="I50" s="14" t="str">
        <x:v>数据范围不一致</x:v>
      </x:c>
      <x:c r="J50" s="14" t="str">
        <x:v>仅当分子是真实去重付费用户时可用；不能使用订单笔数
分母引用M016；支付方式是否能划定同范围活跃用户需另确认，不能用付费用户代替。
M061/M087分母，不能用全站活跃冒充某支付方式分母；周期语义依权威。</x:v>
      </x:c>
      <x:c r="K50" s="14" t="str">
        <x:v>总体：totalChargeUserCount / loginUserCount</x:v>
      </x:c>
      <x:c r="L50" s="14" t="str">
        <x:v>在页面标题中固定分母为登录DAU或全访问DAU</x:v>
      </x:c>
      <x:c r="M50" s="14" t="str">
        <x:v>核心经营总览；会员与付费经营；支付链路与到账质量</x:v>
      </x:c>
      <x:c r="N50" s="14" t="str">
        <x:v>全站指标体系.md（M061，v0.24-draft）；BI-产品需求文档.md:708；operating-detail-columns.ts；BI-产品需求文档.md:1384；extended-board-model.ts:119；BI-产品需求文档.md:1484；payment-order-reading.ts
支付方式同范围活跃用户基数（payment_scope_active_users）：BI-产品需求文档.md:1484；payment-order-reading.ts</x:v>
      </x:c>
      <x:c r="O50" s="14" t="str">
        <x:v>/api/admin/statistics/pDaySum
总体：totalChargeUserCount；loginUserCount
支付方式同范围活跃用户基数：
/api/admin/statistics/pDaySum
M016候选：loginUserCount（须核对相同身份、日期及用户范围）</x:v>
      </x:c>
      <x:c r="P50" s="14" t="str">
        <x:v>支付方式同范围活跃用户基数：未支持【总体；微信 / 支付宝】单日、逐日趋势、区间去重人数、日均</x:v>
      </x:c>
    </x:row>
    <x:row r="51" ht="78" customHeight="1">
      <x:c r="A51" s="14" t="str">
        <x:v>M064</x:v>
      </x:c>
      <x:c r="B51" s="14" t="str">
        <x:v>新增用户-付费转化率</x:v>
      </x:c>
      <x:c r="C51" s="14" t="str">
        <x:v>标准指标</x:v>
      </x:c>
      <x:c r="D51" s="14" t="str">
        <x:v>页面一、页面二按新增付费用户数除以新增用户数计算；渠道汇总页按充值笔数除以注册事件数计算，当前存在两套不同实现。</x:v>
      </x:c>
      <x:c r="E51" s="14" t="str">
        <x:v>新增付费用户数 ÷ 新增用户数</x:v>
      </x:c>
      <x:c r="F51" s="14" t="str">
        <x:v>%</x:v>
      </x:c>
      <x:c r="G51" s="14" t="str">
        <x:v>新增付费用户和新增用户均按同一用户、同一天去重</x:v>
      </x:c>
      <x:c r="H51" s="14" t="str">
        <x:v>注册业务日、渠道、平台</x:v>
      </x:c>
      <x:c r="I51" s="14" t="str">
        <x:v>未到账、测试账号</x:v>
      </x:c>
      <x:c r="J51" s="14" t="str">
        <x:v>部分渠道页面可能把订单笔数作为分子</x:v>
      </x:c>
      <x:c r="K51" s="14" t="str">
        <x:v>总体：newUserChargeUserCount / registerUserCount</x:v>
      </x:c>
      <x:c r="L51" s="14" t="str">
        <x:v>只允许使用去重付费用户作为分子，订单数另列</x:v>
      </x:c>
      <x:c r="M51" s="14" t="str">
        <x:v>核心经营总览；获客与新增；会员与付费经营</x:v>
      </x:c>
      <x:c r="N51" s="14" t="str">
        <x:v>全站指标体系.md（M064，v0.24-draft）；BI-产品需求文档.md:708；operating-detail-columns.ts；BI-产品需求文档.md:1072；acquisition-channel-quality.ts；BI-产品需求文档.md:1384；extended-board-model.ts:119</x:v>
      </x:c>
      <x:c r="O51" s="14" t="str">
        <x:v>/api/admin/statistics/pDaySum
总体：newUserChargeUserCount；registerUserCount</x:v>
      </x:c>
      <x:c r="P51" s="14" t="str">
        <x:v>—</x:v>
      </x:c>
    </x:row>
    <x:row r="52" ht="78" customHeight="1">
      <x:c r="A52" s="14" t="str">
        <x:v>M065</x:v>
      </x:c>
      <x:c r="B52" s="14" t="str">
        <x:v>VIP充值金额</x:v>
      </x:c>
      <x:c r="C52" s="14" t="str">
        <x:v>标准指标</x:v>
      </x:c>
      <x:c r="D52" s="14" t="str">
        <x:v>VIP商品成功充值金额</x:v>
      </x:c>
      <x:c r="E52" s="14" t="str">
        <x:v>VIP商品成功订单金额累加</x:v>
      </x:c>
      <x:c r="F52" s="14" t="str">
        <x:v>元</x:v>
      </x:c>
      <x:c r="G52" s="14" t="str">
        <x:v>同一订单只计一次，金额累加</x:v>
      </x:c>
      <x:c r="H52" s="14" t="str">
        <x:v>支付成功业务日、VIP类型、渠道</x:v>
      </x:c>
      <x:c r="I52" s="14" t="str">
        <x:v>失败、退款口径未确认</x:v>
      </x:c>
      <x:c r="J52" s="14" t="str">
        <x:v>现金购买VIP与金币兑换VIP在部分旧页面混淆</x:v>
      </x:c>
      <x:c r="K52" s="14" t="str">
        <x:v>总体：vipChargeAmt；新用户：newUserVipChargeAmt</x:v>
      </x:c>
      <x:c r="L52" s="14" t="str">
        <x:v>现金充值与金币兑换分成两个指标，不直接合并；金额为人民币元，保留接口数值；金额覆盖范围与业务时间归属待验数。纯金额按所选完整业务日提供合计及日均，人均金额不平均，不跨平台汇总。</x:v>
      </x:c>
      <x:c r="M52" s="14" t="str">
        <x:v>会员与付费经营</x:v>
      </x:c>
      <x:c r="N52" s="14" t="str">
        <x:v>全站指标体系.md（M065，v0.24-draft）；BI-产品需求文档.md:1384；extended-board-model.ts:119；PaymentBreakdowns.tsx:80</x:v>
      </x:c>
      <x:c r="O52" s="14" t="str">
        <x:v>/api/admin/statistics/channel/channelStatByTypeV2
总体：vipChargeAmt
新用户：newUserVipChargeAmt</x:v>
      </x:c>
      <x:c r="P52" s="14" t="str">
        <x:v>—</x:v>
      </x:c>
    </x:row>
    <x:row r="53" ht="62" customHeight="1">
      <x:c r="A53" s="14" t="str">
        <x:v>M066</x:v>
      </x:c>
      <x:c r="B53" s="14" t="str">
        <x:v>金币充值金额</x:v>
      </x:c>
      <x:c r="C53" s="14" t="str">
        <x:v>标准指标</x:v>
      </x:c>
      <x:c r="D53" s="14" t="str">
        <x:v>金币商品成功充值金额</x:v>
      </x:c>
      <x:c r="E53" s="14" t="str">
        <x:v>金币商品成功订单金额累加</x:v>
      </x:c>
      <x:c r="F53" s="14" t="str">
        <x:v>元</x:v>
      </x:c>
      <x:c r="G53" s="14" t="str">
        <x:v>同一订单只计一次，金额累加</x:v>
      </x:c>
      <x:c r="H53" s="14" t="str">
        <x:v>支付成功业务日、金币包、渠道</x:v>
      </x:c>
      <x:c r="I53" s="14" t="str">
        <x:v>失败、未到账</x:v>
      </x:c>
      <x:c r="J53" s="14" t="str">
        <x:v>充值金额与赠送金币不是同一单位</x:v>
      </x:c>
      <x:c r="K53" s="14" t="str">
        <x:v>总体：goldChargeAmt；新用户：newUserGoldChargeAmt</x:v>
      </x:c>
      <x:c r="L53" s="14" t="str">
        <x:v>现金金额、到账金币和赠送金币分别展示；金额为人民币元，保留接口数值；金额覆盖范围与业务时间归属待验数。纯金额按所选完整业务日提供合计及日均，人均金额不平均，不跨平台汇总。</x:v>
      </x:c>
      <x:c r="M53" s="14" t="str">
        <x:v>会员与付费经营</x:v>
      </x:c>
      <x:c r="N53" s="14" t="str">
        <x:v>全站指标体系.md（M066，v0.24-draft）；BI-产品需求文档.md:1384；extended-board-model.ts:119；PaymentBreakdowns.tsx:80</x:v>
      </x:c>
      <x:c r="O53" s="14" t="str">
        <x:v>/api/admin/statistics/channel/channelStatByTypeV2
总体：goldChargeAmt
新用户：newUserGoldChargeAmt</x:v>
      </x:c>
      <x:c r="P53" s="14" t="str">
        <x:v>—</x:v>
      </x:c>
    </x:row>
    <x:row r="54" ht="110" customHeight="1">
      <x:c r="A54" s="14" t="str">
        <x:v>M067</x:v>
      </x:c>
      <x:c r="B54" s="14" t="str">
        <x:v>付费用户人均充值金额（ARPPU）</x:v>
      </x:c>
      <x:c r="C54" s="14" t="str">
        <x:v>标准指标</x:v>
      </x:c>
      <x:c r="D54" s="14" t="str">
        <x:v>统计窗口内每个付费用户贡献的平均充值金额</x:v>
      </x:c>
      <x:c r="E54" s="14" t="str">
        <x:v>总充值金额 ÷ 区间付费用户数</x:v>
      </x:c>
      <x:c r="F54" s="14" t="str">
        <x:v>元/人</x:v>
      </x:c>
      <x:c r="G54" s="14" t="str">
        <x:v>同一付费用户在整个统计周期只计一次</x:v>
      </x:c>
      <x:c r="H54" s="14" t="str">
        <x:v>查询区间、渠道、平台、商品类型</x:v>
      </x:c>
      <x:c r="I54" s="14" t="str">
        <x:v>退款口径未确认</x:v>
      </x:c>
      <x:c r="J54" s="14" t="str">
        <x:v>后台现有“客单价”实际是每个新增摊到的渠道成本，不是ARPPU</x:v>
      </x:c>
      <x:c r="K54" s="14" t="str">
        <x:v>新用户：newUserDiamondChargeAmt / newUserChargeUserCount；总体：diamondChargeAmt / totalChargeUserCount</x:v>
      </x:c>
      <x:c r="L54" s="14" t="str">
        <x:v>统计窗口内每个付费用户贡献的平均充值金额；金额为人民币元，保留接口数值；金额覆盖范围与业务时间归属待验数。纯金额按所选完整业务日提供合计及日均，人均金额不平均，不跨平台汇总。</x:v>
      </x:c>
      <x:c r="M54" s="14" t="str">
        <x:v>核心经营总览；获客与新增；会员与付费经营；支付链路与到账质量</x:v>
      </x:c>
      <x:c r="N54" s="14" t="str">
        <x:v>全站指标体系.md（M067，v0.24-draft）；BI-产品需求文档.md:708；operating-detail-columns.ts；BI-产品需求文档.md:1072；acquisition-channel-quality.ts；BI-产品需求文档.md:1384；extended-board-model.ts:119；PaymentBreakdowns.tsx:60；BI-产品需求文档.md:1484；payment-order-reading.ts</x:v>
      </x:c>
      <x:c r="O54" s="14" t="str">
        <x:v>/api/admin/statistics/pDaySum
新用户：newUserDiamondChargeAmt；newUserChargeUserCount
总体：diamondChargeAmt；totalChargeUserCount</x:v>
      </x:c>
      <x:c r="P54" s="14" t="str">
        <x:v>—</x:v>
      </x:c>
    </x:row>
    <x:row r="55" ht="62" customHeight="1">
      <x:c r="A55" s="14" t="str">
        <x:v>M068</x:v>
      </x:c>
      <x:c r="B55" s="14" t="str">
        <x:v>内容付费墙曝光用户数</x:v>
      </x:c>
      <x:c r="C55" s="14" t="str">
        <x:v>标准指标</x:v>
      </x:c>
      <x:c r="D55" s="14" t="str">
        <x:v>存在合格内容付费墙曝光的用户数</x:v>
      </x:c>
      <x:c r="E55" s="14" t="str">
        <x:v>存在合格 content_paywall_expose 的用户数</x:v>
      </x:c>
      <x:c r="F55" s="14" t="str">
        <x:v>人</x:v>
      </x:c>
      <x:c r="G55" s="14" t="str">
        <x:v>同一用户在整个统计周期只计一次</x:v>
      </x:c>
      <x:c r="H55" s="14" t="str">
        <x:v>业务日、内容类型、付费墙类型、访问类型</x:v>
      </x:c>
      <x:c r="I55" s="14" t="str">
        <x:v>重复曝光、页面未实际可见</x:v>
      </x:c>
      <x:c r="J55" s="14" t="str">
        <x:v>付费墙属于会员模块，不等于支付页</x:v>
      </x:c>
      <x:c r="K55" s="14" t="str">
        <x:v>尚未接入</x:v>
      </x:c>
      <x:c r="L55" s="14" t="str">
        <x:v>至少看到一次内容付费墙的去重用户数</x:v>
      </x:c>
      <x:c r="M55" s="14" t="str">
        <x:v>会员与付费经营</x:v>
      </x:c>
      <x:c r="N55" s="14" t="str">
        <x:v>全站指标体系.md（M068，v0.24-draft）；BI-产品需求文档.md:1384；extended-board-model.ts:119；ExtendedBoardPreview.tsx</x:v>
      </x:c>
      <x:c r="O55" s="14" t="str">
        <x:v>未找到可直接使用的接口
—</x:v>
      </x:c>
      <x:c r="P55" s="14" t="str">
        <x:v>—</x:v>
      </x:c>
    </x:row>
    <x:row r="56" ht="62" customHeight="1">
      <x:c r="A56" s="14" t="str">
        <x:v>M069</x:v>
      </x:c>
      <x:c r="B56" s="14" t="str">
        <x:v>付费墙曝光-操作转化率</x:v>
      </x:c>
      <x:c r="C56" s="14" t="str">
        <x:v>标准指标</x:v>
      </x:c>
      <x:c r="D56" s="14" t="str">
        <x:v>看到付费墙的用户中点击开通、充值或解锁等动作的比例</x:v>
      </x:c>
      <x:c r="E56" s="14" t="str">
        <x:v>付费墙操作用户数 ÷ 付费墙曝光用户数</x:v>
      </x:c>
      <x:c r="F56" s="14" t="str">
        <x:v>%</x:v>
      </x:c>
      <x:c r="G56" s="14" t="str">
        <x:v>同一用户只计一次；可按每次付费墙展示进一步分析</x:v>
      </x:c>
      <x:c r="H56" s="14" t="str">
        <x:v>业务日、付费墙、内容类型、动作</x:v>
      </x:c>
      <x:c r="I56" s="14" t="str">
        <x:v>关闭和返回按动作分开，不混入转化分子</x:v>
      </x:c>
      <x:c r="J56" s="14" t="str">
        <x:v>操作点击不代表支付成功</x:v>
      </x:c>
      <x:c r="K56" s="14" t="str">
        <x:v>尚未接入</x:v>
      </x:c>
      <x:c r="L56" s="14" t="str">
        <x:v>看到付费墙的用户中点击开通、充值或解锁等动作的比例</x:v>
      </x:c>
      <x:c r="M56" s="14" t="str">
        <x:v>会员与付费经营</x:v>
      </x:c>
      <x:c r="N56" s="14" t="str">
        <x:v>全站指标体系.md（M069，v0.24-draft）；BI-产品需求文档.md:1384；extended-board-model.ts:119；ExtendedBoardPreview.tsx</x:v>
      </x:c>
      <x:c r="O56" s="14" t="str">
        <x:v>未找到可直接使用的接口
—</x:v>
      </x:c>
      <x:c r="P56" s="14" t="str">
        <x:v>—</x:v>
      </x:c>
    </x:row>
    <x:row r="57" ht="62" customHeight="1">
      <x:c r="A57" s="14" t="str">
        <x:v>M070</x:v>
      </x:c>
      <x:c r="B57" s="14" t="str">
        <x:v>充值页访问-支付提交转化率</x:v>
      </x:c>
      <x:c r="C57" s="14" t="str">
        <x:v>标准指标</x:v>
      </x:c>
      <x:c r="D57" s="14" t="str">
        <x:v>进入充值页的用户中点击提交支付的比例</x:v>
      </x:c>
      <x:c r="E57" s="14" t="str">
        <x:v>支付提交用户数 ÷ 充值页访问用户数</x:v>
      </x:c>
      <x:c r="F57" s="14" t="str">
        <x:v>%</x:v>
      </x:c>
      <x:c r="G57" s="14" t="str">
        <x:v>按用户计算时，同一用户只计一次；按充值会话计算时，同一次会话只计一次</x:v>
      </x:c>
      <x:c r="H57" s="14" t="str">
        <x:v>同一充值会话、业务日、场景</x:v>
      </x:c>
      <x:c r="I57" s="14" t="str">
        <x:v>重复进入、重复点击</x:v>
      </x:c>
      <x:c r="J57" s="14" t="str">
        <x:v>用户率和会话率不能混用</x:v>
      </x:c>
      <x:c r="K57" s="14" t="str">
        <x:v>尚未接入</x:v>
      </x:c>
      <x:c r="L57" s="14" t="str">
        <x:v>进入充值页的用户中点击提交支付的比例</x:v>
      </x:c>
      <x:c r="M57" s="14" t="str">
        <x:v>核心经营总览；支付链路与到账质量</x:v>
      </x:c>
      <x:c r="N57" s="14" t="str">
        <x:v>全站指标体系.md（M070，v0.24-draft）；BI-产品需求文档.md:708；CoreOverviewDesignFixture.tsx；BI-产品需求文档.md:1484；extended-board-model.ts:119</x:v>
      </x:c>
      <x:c r="O57" s="14" t="str">
        <x:v>未找到可直接使用的接口
—</x:v>
      </x:c>
      <x:c r="P57" s="14" t="str">
        <x:v>—</x:v>
      </x:c>
    </x:row>
    <x:row r="58" ht="62" customHeight="1">
      <x:c r="A58" s="14" t="str">
        <x:v>M071</x:v>
      </x:c>
      <x:c r="B58" s="14" t="str">
        <x:v>下单成功率</x:v>
      </x:c>
      <x:c r="C58" s="14" t="str">
        <x:v>标准指标</x:v>
      </x:c>
      <x:c r="D58" s="14" t="str">
        <x:v>已提交支付请求中成功创建订单的比例</x:v>
      </x:c>
      <x:c r="E58" s="14" t="str">
        <x:v>下单成功请求数 ÷ 下单请求结果数</x:v>
      </x:c>
      <x:c r="F58" s="14" t="str">
        <x:v>%</x:v>
      </x:c>
      <x:c r="G58" s="14" t="str">
        <x:v>同一次有效充值请求只计一次</x:v>
      </x:c>
      <x:c r="H58" s="14" t="str">
        <x:v>业务日、支付工具、商品、平台</x:v>
      </x:c>
      <x:c r="I58" s="14" t="str">
        <x:v>重复请求、无结果请求单独监控</x:v>
      </x:c>
      <x:c r="J58" s="14" t="str">
        <x:v>只表示订单创建，不代表支付成功</x:v>
      </x:c>
      <x:c r="K58" s="14" t="str">
        <x:v>尚未接入</x:v>
      </x:c>
      <x:c r="L58" s="14" t="str">
        <x:v>已提交支付请求中成功创建订单的比例</x:v>
      </x:c>
      <x:c r="M58" s="14" t="str">
        <x:v>核心经营总览；支付链路与到账质量</x:v>
      </x:c>
      <x:c r="N58" s="14" t="str">
        <x:v>全站指标体系.md（M071，v0.24-draft）；BI-产品需求文档.md:708；CoreOverviewDesignFixture.tsx；BI-产品需求文档.md:1484；extended-board-model.ts:119</x:v>
      </x:c>
      <x:c r="O58" s="14" t="str">
        <x:v>未找到可直接使用的接口
—</x:v>
      </x:c>
      <x:c r="P58" s="14" t="str">
        <x:v>—</x:v>
      </x:c>
    </x:row>
    <x:row r="59" ht="62" customHeight="1">
      <x:c r="A59" s="14" t="str">
        <x:v>M072</x:v>
      </x:c>
      <x:c r="B59" s="14" t="str">
        <x:v>支付回调-充值到账转化率</x:v>
      </x:c>
      <x:c r="C59" s="14" t="str">
        <x:v>标准指标</x:v>
      </x:c>
      <x:c r="D59" s="14" t="str">
        <x:v>支付回调成功订单中最终成功到账的比例</x:v>
      </x:c>
      <x:c r="E59" s="14" t="str">
        <x:v>已到账订单数 ÷ 支付回调确认成功订单数</x:v>
      </x:c>
      <x:c r="F59" s="14" t="str">
        <x:v>%</x:v>
      </x:c>
      <x:c r="G59" s="14" t="str">
        <x:v>同一订单只计一次</x:v>
      </x:c>
      <x:c r="H59" s="14" t="str">
        <x:v>业务日、支付工具、到账类型</x:v>
      </x:c>
      <x:c r="I59" s="14" t="str">
        <x:v>重复回调、观察中订单</x:v>
      </x:c>
      <x:c r="J59" s="14" t="str">
        <x:v>回调成功与到账成功是两个阶段</x:v>
      </x:c>
      <x:c r="K59" s="14" t="str">
        <x:v>尚未接入</x:v>
      </x:c>
      <x:c r="L59" s="14" t="str">
        <x:v>支付回调成功订单中最终成功到账的比例</x:v>
      </x:c>
      <x:c r="M59" s="14" t="str">
        <x:v>核心经营总览；支付链路与到账质量</x:v>
      </x:c>
      <x:c r="N59" s="14" t="str">
        <x:v>全站指标体系.md（M072，v0.24-draft）；BI-产品需求文档.md:708；CoreOverviewDesignFixture.tsx；BI-产品需求文档.md:1484；extended-board-model.ts:119</x:v>
      </x:c>
      <x:c r="O59" s="14" t="str">
        <x:v>未找到可直接使用的接口
—</x:v>
      </x:c>
      <x:c r="P59" s="14" t="str">
        <x:v>—</x:v>
      </x:c>
    </x:row>
    <x:row r="60" ht="62" customHeight="1">
      <x:c r="A60" s="14" t="str">
        <x:v>M073</x:v>
      </x:c>
      <x:c r="B60" s="14" t="str">
        <x:v>会员引导曝光-点击转化率</x:v>
      </x:c>
      <x:c r="C60" s="14" t="str">
        <x:v>标准指标</x:v>
      </x:c>
      <x:c r="D60" s="14" t="str">
        <x:v>会员引导曝光后产生点击的比例</x:v>
      </x:c>
      <x:c r="E60" s="14" t="str">
        <x:v>匹配引导点击数 ÷ 合格引导曝光数</x:v>
      </x:c>
      <x:c r="F60" s="14" t="str">
        <x:v>%</x:v>
      </x:c>
      <x:c r="G60" s="14" t="str">
        <x:v>同一次会员引导展示及其匹配点击各只计一次</x:v>
      </x:c>
      <x:c r="H60" s="14" t="str">
        <x:v>业务日、引导位、原因、会员类型</x:v>
      </x:c>
      <x:c r="I60" s="14" t="str">
        <x:v>无曝光匹配、重复曝光</x:v>
      </x:c>
      <x:c r="J60" s="14" t="str">
        <x:v>引导点击不代表购买</x:v>
      </x:c>
      <x:c r="K60" s="14" t="str">
        <x:v>尚未接入</x:v>
      </x:c>
      <x:c r="L60" s="14" t="str">
        <x:v>会员引导曝光后产生点击的比例</x:v>
      </x:c>
      <x:c r="M60" s="14" t="str">
        <x:v>会员与付费经营</x:v>
      </x:c>
      <x:c r="N60" s="14" t="str">
        <x:v>全站指标体系.md（M073，v0.24-draft）；BI-产品需求文档.md:1384；extended-board-model.ts:119；ExtendedBoardPreview.tsx</x:v>
      </x:c>
      <x:c r="O60" s="14" t="str">
        <x:v>未找到可直接使用的接口
—</x:v>
      </x:c>
      <x:c r="P60" s="14" t="str">
        <x:v>—</x:v>
      </x:c>
    </x:row>
    <x:row r="61" ht="62" customHeight="1">
      <x:c r="A61" s="14" t="str">
        <x:v>M074</x:v>
      </x:c>
      <x:c r="B61" s="14" t="str">
        <x:v>签到入口曝光-点击转化率</x:v>
      </x:c>
      <x:c r="C61" s="14" t="str">
        <x:v>标准指标</x:v>
      </x:c>
      <x:c r="D61" s="14" t="str">
        <x:v>签到入口合格曝光后产生点击的比例</x:v>
      </x:c>
      <x:c r="E61" s="14" t="str">
        <x:v>匹配签到入口点击数 ÷ 合格曝光数</x:v>
      </x:c>
      <x:c r="F61" s="14" t="str">
        <x:v>%</x:v>
      </x:c>
      <x:c r="G61" s="14" t="str">
        <x:v>同一次签到入口展示及其匹配点击各只计一次</x:v>
      </x:c>
      <x:c r="H61" s="14" t="str">
        <x:v>业务日、入口</x:v>
      </x:c>
      <x:c r="I61" s="14" t="str">
        <x:v>无曝光匹配、重复曝光</x:v>
      </x:c>
      <x:c r="J61" s="14" t="str">
        <x:v>入口点击不等于签到成功</x:v>
      </x:c>
      <x:c r="K61" s="14" t="str">
        <x:v>尚未接入</x:v>
      </x:c>
      <x:c r="L61" s="14" t="str">
        <x:v>签到入口合格曝光后产生点击的比例</x:v>
      </x:c>
      <x:c r="M61" s="14" t="str">
        <x:v>运营玩法概览</x:v>
      </x:c>
      <x:c r="N61" s="14" t="str">
        <x:v>全站指标体系.md（M074，v0.24-draft）；BI-产品需求文档.md:1681；extended-board-model.ts:119；ExtendedBoardPreview.tsx</x:v>
      </x:c>
      <x:c r="O61" s="14" t="str">
        <x:v>未找到可直接使用的接口
—</x:v>
      </x:c>
      <x:c r="P61" s="14" t="str">
        <x:v>—</x:v>
      </x:c>
    </x:row>
    <x:row r="62" ht="62" customHeight="1">
      <x:c r="A62" s="14" t="str">
        <x:v>M075</x:v>
      </x:c>
      <x:c r="B62" s="14" t="str">
        <x:v>签到成功用户数</x:v>
      </x:c>
      <x:c r="C62" s="14" t="str">
        <x:v>标准指标</x:v>
      </x:c>
      <x:c r="D62" s="14" t="str">
        <x:v>签到结果成功的去重用户数</x:v>
      </x:c>
      <x:c r="E62" s="14" t="str">
        <x:v>签到结果成功的去重用户数</x:v>
      </x:c>
      <x:c r="F62" s="14" t="str">
        <x:v>人</x:v>
      </x:c>
      <x:c r="G62" s="14" t="str">
        <x:v>同一用户在同一签到周期内只计一次成功</x:v>
      </x:c>
      <x:c r="H62" s="14" t="str">
        <x:v>业务日、签到周期</x:v>
      </x:c>
      <x:c r="I62" s="14" t="str">
        <x:v>失败、重复结果</x:v>
      </x:c>
      <x:c r="J62" s="14" t="str">
        <x:v>需要明确跨端重复提交去重键</x:v>
      </x:c>
      <x:c r="K62" s="14" t="str">
        <x:v>总体：signInRate.raw.signed</x:v>
      </x:c>
      <x:c r="L62" s="14" t="str">
        <x:v>统计窗口内至少签到成功一次的去重用户数；签到看板返回的当日签到人数；使用人数原值，不用签到页 UV、签到率或任务人数替代。成功终态、重复签到排除方式待验数。</x:v>
      </x:c>
      <x:c r="M62" s="14" t="str">
        <x:v>运营玩法概览</x:v>
      </x:c>
      <x:c r="N62" s="14" t="str">
        <x:v>全站指标体系.md（M075，v0.24-draft）；BI-产品需求文档.md:1681；extended-board-model.ts:119；ExtendedBoardPreview.tsx</x:v>
      </x:c>
      <x:c r="O62" s="14" t="str">
        <x:v>/api/admin/dataDashboard/overview
总体：signInRate.raw.signed</x:v>
      </x:c>
      <x:c r="P62" s="14" t="str">
        <x:v>—</x:v>
      </x:c>
    </x:row>
    <x:row r="63" ht="62" customHeight="1">
      <x:c r="A63" s="14" t="str">
        <x:v>M076</x:v>
      </x:c>
      <x:c r="B63" s="14" t="str">
        <x:v>任务奖励成功率</x:v>
      </x:c>
      <x:c r="C63" s="14" t="str">
        <x:v>标准指标</x:v>
      </x:c>
      <x:c r="D63" s="14" t="str">
        <x:v>任务操作后成功发放奖励的比例</x:v>
      </x:c>
      <x:c r="E63" s="14" t="str">
        <x:v>奖励成功任务数 ÷ 有结果任务数</x:v>
      </x:c>
      <x:c r="F63" s="14" t="str">
        <x:v>%</x:v>
      </x:c>
      <x:c r="G63" s="14" t="str">
        <x:v>同一用户的同一任务在同一任务周期内只计一次</x:v>
      </x:c>
      <x:c r="H63" s="14" t="str">
        <x:v>业务日、任务类型、任务周期</x:v>
      </x:c>
      <x:c r="I63" s="14" t="str">
        <x:v>重复发奖、观察中结果</x:v>
      </x:c>
      <x:c r="J63" s="14" t="str">
        <x:v>点击任务不代表完成任务</x:v>
      </x:c>
      <x:c r="K63" s="14" t="str">
        <x:v>尚未接入</x:v>
      </x:c>
      <x:c r="L63" s="14" t="str">
        <x:v>任务操作后成功发放奖励的比例</x:v>
      </x:c>
      <x:c r="M63" s="14" t="str">
        <x:v>运营玩法概览</x:v>
      </x:c>
      <x:c r="N63" s="14" t="str">
        <x:v>全站指标体系.md（M076，v0.24-draft）；BI-产品需求文档.md:1681；extended-board-model.ts:119；ExtendedBoardPreview.tsx</x:v>
      </x:c>
      <x:c r="O63" s="14" t="str">
        <x:v>未找到可直接使用的接口
—</x:v>
      </x:c>
      <x:c r="P63" s="14" t="str">
        <x:v>—</x:v>
      </x:c>
    </x:row>
    <x:row r="64" ht="62" customHeight="1">
      <x:c r="A64" s="14" t="str">
        <x:v>M077</x:v>
      </x:c>
      <x:c r="B64" s="14" t="str">
        <x:v>福利领取提交-成功转化率</x:v>
      </x:c>
      <x:c r="C64" s="14" t="str">
        <x:v>标准指标</x:v>
      </x:c>
      <x:c r="D64" s="14" t="str">
        <x:v>福利领取提交后服务端确认成功的比例</x:v>
      </x:c>
      <x:c r="E64" s="14" t="str">
        <x:v>福利领取成功结果数 ÷ 福利领取提交数</x:v>
      </x:c>
      <x:c r="F64" s="14" t="str">
        <x:v>%</x:v>
      </x:c>
      <x:c r="G64" s="14" t="str">
        <x:v>同一用户的同一福利在同一领取周期内只计一次</x:v>
      </x:c>
      <x:c r="H64" s="14" t="str">
        <x:v>业务日、福利类型</x:v>
      </x:c>
      <x:c r="I64" s="14" t="str">
        <x:v>重复提交、库存不足等失败</x:v>
      </x:c>
      <x:c r="J64" s="14" t="str">
        <x:v>当前福利模块结果事件需按正式契约核对</x:v>
      </x:c>
      <x:c r="K64" s="14" t="str">
        <x:v>尚未接入</x:v>
      </x:c>
      <x:c r="L64" s="14" t="str">
        <x:v>福利领取提交后服务端确认成功的比例</x:v>
      </x:c>
      <x:c r="M64" s="14" t="str">
        <x:v>运营玩法概览</x:v>
      </x:c>
      <x:c r="N64" s="14" t="str">
        <x:v>全站指标体系.md（M077，v0.24-draft）；BI-产品需求文档.md:1681；extended-board-model.ts:119；ExtendedBoardPreview.tsx</x:v>
      </x:c>
      <x:c r="O64" s="14" t="str">
        <x:v>未找到可直接使用的接口
—</x:v>
      </x:c>
      <x:c r="P64" s="14" t="str">
        <x:v>—</x:v>
      </x:c>
    </x:row>
    <x:row r="65" ht="62" customHeight="1">
      <x:c r="A65" s="14" t="str">
        <x:v>M078</x:v>
      </x:c>
      <x:c r="B65" s="14" t="str">
        <x:v>邀请绑定提交-成功转化率</x:v>
      </x:c>
      <x:c r="C65" s="14" t="str">
        <x:v>标准指标</x:v>
      </x:c>
      <x:c r="D65" s="14" t="str">
        <x:v>邀请绑定提交中服务端确认成功的比例</x:v>
      </x:c>
      <x:c r="E65" s="14" t="str">
        <x:v>邀请绑定成功结果数 ÷ 邀请绑定提交数</x:v>
      </x:c>
      <x:c r="F65" s="14" t="str">
        <x:v>%</x:v>
      </x:c>
      <x:c r="G65" s="14" t="str">
        <x:v>同一次邀请关系绑定只计一次</x:v>
      </x:c>
      <x:c r="H65" s="14" t="str">
        <x:v>业务日、绑定来源</x:v>
      </x:c>
      <x:c r="I65" s="14" t="str">
        <x:v>重复绑定、无效邀请码</x:v>
      </x:c>
      <x:c r="J65" s="14" t="str">
        <x:v>提交与成功必须分开</x:v>
      </x:c>
      <x:c r="K65" s="14" t="str">
        <x:v>尚未接入</x:v>
      </x:c>
      <x:c r="L65" s="14" t="str">
        <x:v>邀请绑定提交中服务端确认成功的比例</x:v>
      </x:c>
      <x:c r="M65" s="14" t="str">
        <x:v>运营玩法概览</x:v>
      </x:c>
      <x:c r="N65" s="14" t="str">
        <x:v>全站指标体系.md（M078，v0.24-draft）；BI-产品需求文档.md:1681；extended-board-model.ts:119；ExtendedBoardPreview.tsx</x:v>
      </x:c>
      <x:c r="O65" s="14" t="str">
        <x:v>未找到可直接使用的接口
—</x:v>
      </x:c>
      <x:c r="P65" s="14" t="str">
        <x:v>—</x:v>
      </x:c>
    </x:row>
    <x:row r="66" ht="62" customHeight="1">
      <x:c r="A66" s="14" t="str">
        <x:v>M079</x:v>
      </x:c>
      <x:c r="B66" s="14" t="str">
        <x:v>邀请奖励成功发放用户数</x:v>
      </x:c>
      <x:c r="C66" s="14" t="str">
        <x:v>标准指标</x:v>
      </x:c>
      <x:c r="D66" s="14" t="str">
        <x:v>奖励成功结果中的奖励接收用户数</x:v>
      </x:c>
      <x:c r="E66" s="14" t="str">
        <x:v>奖励成功结果中的奖励接收用户数</x:v>
      </x:c>
      <x:c r="F66" s="14" t="str">
        <x:v>人</x:v>
      </x:c>
      <x:c r="G66" s="14" t="str">
        <x:v>同一用户在同一奖励里程碑只计一次</x:v>
      </x:c>
      <x:c r="H66" s="14" t="str">
        <x:v>业务日、奖励接收方、里程碑、奖励单位</x:v>
      </x:c>
      <x:c r="I66" s="14" t="str">
        <x:v>重复发放、失败结果</x:v>
      </x:c>
      <x:c r="J66" s="14" t="str">
        <x:v>邀请人与被邀请人共用奖励体系，不能按事件名拆成两套口径</x:v>
      </x:c>
      <x:c r="K66" s="14" t="str">
        <x:v>尚未接入</x:v>
      </x:c>
      <x:c r="L66" s="14" t="str">
        <x:v>统计窗口内成功收到邀请奖励的去重用户数</x:v>
      </x:c>
      <x:c r="M66" s="14" t="str">
        <x:v>运营玩法概览</x:v>
      </x:c>
      <x:c r="N66" s="14" t="str">
        <x:v>全站指标体系.md（M079，v0.24-draft）；BI-产品需求文档.md:1681；extended-board-model.ts:119；ExtendedBoardPreview.tsx</x:v>
      </x:c>
      <x:c r="O66" s="14" t="str">
        <x:v>未找到可直接使用的接口
—</x:v>
      </x:c>
      <x:c r="P66" s="14" t="str">
        <x:v>—</x:v>
      </x:c>
    </x:row>
    <x:row r="67" ht="78" customHeight="1">
      <x:c r="A67" s="14" t="str">
        <x:v>M080</x:v>
      </x:c>
      <x:c r="B67" s="14" t="str">
        <x:v>启动成功率</x:v>
      </x:c>
      <x:c r="C67" s="14" t="str">
        <x:v>标准指标</x:v>
      </x:c>
      <x:c r="D67" s="14" t="str">
        <x:v>Notion 技术字典未登记；其他现有资料显示后台已有同名或近似指标，但尚未提供可核对的统一技术定义。</x:v>
      </x:c>
      <x:c r="E67" s="14" t="str">
        <x:v>launch_result.result_status=success 的启动数 ÷ 已产生终态的启动数</x:v>
      </x:c>
      <x:c r="F67" s="14" t="str">
        <x:v>%</x:v>
      </x:c>
      <x:c r="G67" s="14" t="str">
        <x:v>同一次启动只保留一个最终结果</x:v>
      </x:c>
      <x:c r="H67" s="14" t="str">
        <x:v>业务日、平台、launch_type、应用版本、网络、PID</x:v>
      </x:c>
      <x:c r="I67" s="14" t="str">
        <x:v>重复终态、测试启动、缺失 launch_id</x:v>
      </x:c>
      <x:c r="J67" s="14" t="str">
        <x:v>仅使用已上报终态作分母会漏掉完全未上报结果的启动，可能高估成功率</x:v>
      </x:c>
      <x:c r="K67" s="14" t="str">
        <x:v>尚未接入</x:v>
      </x:c>
      <x:c r="L67" s="14" t="str">
        <x:v>产品启动后成功到达首个目标业务页面且可以操作的比例；可按 App 和 Web 分开查看</x:v>
      </x:c>
      <x:c r="M67" s="14" t="str">
        <x:v>核心经营总览；产品体验与启动质量</x:v>
      </x:c>
      <x:c r="N67" s="14" t="str">
        <x:v>全站指标体系.md（M080，v0.24-draft）；BI-产品需求文档.md:708；CoreOverviewDesignFixture.tsx；BI-产品需求文档.md:1741；extended-board-model.ts:119；version-performance-fixtures.ts:460</x:v>
      </x:c>
      <x:c r="O67" s="14" t="str">
        <x:v>/api/admin/statistics/trackEventsReport/getEventStats
相关字段待核：appStart</x:v>
      </x:c>
      <x:c r="P67" s="14" t="str">
        <x:v>—</x:v>
      </x:c>
    </x:row>
    <x:row r="68" ht="126" customHeight="1">
      <x:c r="A68" s="14" t="str">
        <x:v>M081</x:v>
      </x:c>
      <x:c r="B68" s="14" t="str">
        <x:v>活跃用户观影率</x:v>
      </x:c>
      <x:c r="C68" s="14" t="str">
        <x:v>标准指标</x:v>
      </x:c>
      <x:c r="D68" s="14" t="str">
        <x:v>Notion 技术字典未登记；其他现有资料显示后台已有同名或近似指标，但尚未提供可核对的统一技术定义。</x:v>
      </x:c>
      <x:c r="E68" s="14" t="str">
        <x:v>观影用户数 ÷ 日活跃用户数</x:v>
      </x:c>
      <x:c r="F68" s="14" t="str">
        <x:v>%</x:v>
      </x:c>
      <x:c r="G68" s="14" t="str">
        <x:v>观影用户和活跃用户均按同一用户、同一天去重</x:v>
      </x:c>
      <x:c r="H68" s="14" t="str">
        <x:v>业务日、渠道、PID；按 Android / iOS、自然新增 / 内部导量、新用户 / 老用户查看</x:v>
      </x:c>
      <x:c r="I68" s="14" t="str">
        <x:v>测试账号、机器人、身份缺失</x:v>
      </x:c>
      <x:c r="J68" s="14" t="str">
        <x:v>日报“总观影率”是否使用同一登录 DAU 分母仍需验数</x:v>
      </x:c>
      <x:c r="K68" s="14" t="str">
        <x:v>老用户：oldUserWatchUserCount / oldUserLoginUserCount；Web：webWatchUserCount / webLoginUserCount；Android：androidWatchUserCount / androidLoginUserCount；iOS：iosWatchUserCount / iosLoginUserCount；总体：watchUserCount / loginUserCount</x:v>
      </x:c>
      <x:c r="L68" s="14" t="str">
        <x:v>当天活跃用户中至少发起过一次视频播放的用户比例；这里只衡量是否进入观影，不代表首帧成功或有效观看；渠道统计V2的所选平台单日独立合计，不累计渠道层级明细。身份去重方式待验数。；采用后台日汇总对应切片的直接结果，不相加或推算总体；身份去重方式待验数。</x:v>
      </x:c>
      <x:c r="M68" s="14" t="str">
        <x:v>核心经营总览；视频消费表现；产品体验与启动质量</x:v>
      </x:c>
      <x:c r="N68" s="14" t="str">
        <x:v>全站指标体系.md（M081，v0.24-draft）；BI-产品需求文档.md:708；CoreOverviewDesignFixture.tsx；operating-detail-columns.ts；BI-产品需求文档.md:1288；TopicPreviews.tsx；BI-产品需求文档.md:1741；version-performance-fixtures.ts:460</x:v>
      </x:c>
      <x:c r="O68" s="14" t="str">
        <x:v>/api/admin/statistics/channel/channelStatByTypeV2
老用户：oldUserWatchUserCount；oldUserLoginUserCount
/api/admin/statistics/pDaySum
Web：webWatchUserCount；webLoginUserCount
Android：androidWatchUserCount；androidLoginUserCount
iOS：iosWatchUserCount；iosLoginUserCount
总体：watchUserCount；loginUserCount</x:v>
      </x:c>
      <x:c r="P68" s="14" t="str">
        <x:v>—</x:v>
      </x:c>
    </x:row>
    <x:row r="69" ht="78" customHeight="1">
      <x:c r="A69" s="14" t="str">
        <x:v>M083</x:v>
      </x:c>
      <x:c r="B69" s="14" t="str">
        <x:v>播放发起率</x:v>
      </x:c>
      <x:c r="C69" s="14" t="str">
        <x:v>标准指标</x:v>
      </x:c>
      <x:c r="D69" s="14" t="str">
        <x:v>用户点击视频后，不论后续成功或失败，播放器实际接收到有效播放指令并开始加载媒体的比例</x:v>
      </x:c>
      <x:c r="E69" s="14" t="str">
        <x:v>由点击直接触发的 video_play_start 次数 ÷ 可进入播放的 video_content_click 次数</x:v>
      </x:c>
      <x:c r="F69" s="14" t="str">
        <x:v>%</x:v>
      </x:c>
      <x:c r="G69" s="14" t="str">
        <x:v>同一次点击和由其触发的播放开始各只计一次</x:v>
      </x:c>
      <x:c r="H69" s="14" t="str">
        <x:v>业务日、页面、列表、视频类型、平台、PID</x:v>
      </x:c>
      <x:c r="I69" s="14" t="str">
        <x:v>自动播放、恢复播放、用户重试、预加载、不可进入播放器的点击</x:v>
      </x:c>
      <x:c r="J69" s="14" t="str">
        <x:v>仅统计 play_trigger_type=user_click；自动播放没有点击分母，不能并入该比率</x:v>
      </x:c>
      <x:c r="K69" s="14" t="str">
        <x:v>尚未接入</x:v>
      </x:c>
      <x:c r="L69" s="14" t="str">
        <x:v>用户点击视频后，不论后续成功或失败，播放器实际接收到有效播放指令并开始加载媒体的比例</x:v>
      </x:c>
      <x:c r="M69" s="14" t="str">
        <x:v>播放与观看质量；产品体验与启动质量</x:v>
      </x:c>
      <x:c r="N69" s="14" t="str">
        <x:v>全站指标体系.md（M083，v0.24-draft）；BI-产品需求文档.md:1522；extended-board-model.ts:119；BI-产品需求文档.md:1741；version-performance-fixtures.ts:460</x:v>
      </x:c>
      <x:c r="O69" s="14" t="str">
        <x:v>/api/admin/statistics/trackEventsReport/getEventStats；/api/admin/statistics/pDaySum
相关字段待核：videoClick；videoPlay；videoPlayEnd；watchUserCount；loginUserCount；androidLoginUserCount；iosLoginUserCount</x:v>
      </x:c>
      <x:c r="P69" s="14" t="str">
        <x:v>—</x:v>
      </x:c>
    </x:row>
    <x:row r="70" ht="62" customHeight="1">
      <x:c r="A70" s="14" t="str">
        <x:v>M084</x:v>
      </x:c>
      <x:c r="B70" s="14" t="str">
        <x:v>支付提交次数</x:v>
      </x:c>
      <x:c r="C70" s="14" t="str">
        <x:v>标准指标</x:v>
      </x:c>
      <x:c r="D70" s="14" t="str">
        <x:v>不同支付提交标识的支付提交数</x:v>
      </x:c>
      <x:c r="E70" s="14" t="str">
        <x:v>不同 recharge_request_id 的支付提交数</x:v>
      </x:c>
      <x:c r="F70" s="14" t="str">
        <x:v>次</x:v>
      </x:c>
      <x:c r="G70" s="14" t="str">
        <x:v>同一次有效充值请求只计一次</x:v>
      </x:c>
      <x:c r="H70" s="14" t="str">
        <x:v>业务日、渠道、平台、支付方式、商品、充值场景、PID</x:v>
      </x:c>
      <x:c r="I70" s="14" t="str">
        <x:v>未生成有效充值请求的点击、重复上报、测试订单</x:v>
      </x:c>
      <x:c r="J70" s="14" t="str">
        <x:v>逸品日报“拉单”经产品确认指成功获取支付订单，不等于本指标的客户端支付提交</x:v>
      </x:c>
      <x:c r="K70" s="14" t="str">
        <x:v>尚未接入</x:v>
      </x:c>
      <x:c r="L70" s="14" t="str">
        <x:v>用户确认商品、金额和支付方式后，生成有效充值请求并提交支付的次数</x:v>
      </x:c>
      <x:c r="M70" s="14" t="str">
        <x:v>核心经营总览；支付链路与到账质量</x:v>
      </x:c>
      <x:c r="N70" s="14" t="str">
        <x:v>全站指标体系.md（M084，v0.24-draft）；BI-产品需求文档.md:708；CoreOverviewDesignFixture.tsx；BI-产品需求文档.md:1484；extended-board-model.ts:119</x:v>
      </x:c>
      <x:c r="O70" s="14" t="str">
        <x:v>未找到可直接使用的接口
—</x:v>
      </x:c>
      <x:c r="P70" s="14" t="str">
        <x:v>—</x:v>
      </x:c>
    </x:row>
    <x:row r="71" ht="62" customHeight="1">
      <x:c r="A71" s="14" t="str">
        <x:v>M085</x:v>
      </x:c>
      <x:c r="B71" s="14" t="str">
        <x:v>支付提交用户数</x:v>
      </x:c>
      <x:c r="C71" s="14" t="str">
        <x:v>标准指标</x:v>
      </x:c>
      <x:c r="D71" s="14" t="str">
        <x:v>存在有效支付提交记录的不同用户数</x:v>
      </x:c>
      <x:c r="E71" s="14" t="str">
        <x:v>存在有效 recharge_submit_click 的不同用户数</x:v>
      </x:c>
      <x:c r="F71" s="14" t="str">
        <x:v>人</x:v>
      </x:c>
      <x:c r="G71" s="14" t="str">
        <x:v>同一用户在整个统计周期只计一次</x:v>
      </x:c>
      <x:c r="H71" s="14" t="str">
        <x:v>业务日或查询区间、渠道、平台、支付方式、商品、PID</x:v>
      </x:c>
      <x:c r="I71" s="14" t="str">
        <x:v>无有效请求、测试账号、机器人</x:v>
      </x:c>
      <x:c r="J71" s="14" t="str">
        <x:v>多日若直接相加每日人数会重复；逸品日报“拉单人数”属于订单获取阶段，不能作为本指标别名</x:v>
      </x:c>
      <x:c r="K71" s="14" t="str">
        <x:v>尚未接入</x:v>
      </x:c>
      <x:c r="L71" s="14" t="str">
        <x:v>统计窗口内至少提交过一次有效支付请求的去重用户数</x:v>
      </x:c>
      <x:c r="M71" s="14" t="str">
        <x:v>核心经营总览；支付链路与到账质量</x:v>
      </x:c>
      <x:c r="N71" s="14" t="str">
        <x:v>全站指标体系.md（M085，v0.24-draft）；BI-产品需求文档.md:708；CoreOverviewDesignFixture.tsx；BI-产品需求文档.md:1484；extended-board-model.ts:119</x:v>
      </x:c>
      <x:c r="O71" s="14" t="str">
        <x:v>未找到可直接使用的接口
—</x:v>
      </x:c>
      <x:c r="P71" s="14" t="str">
        <x:v>—</x:v>
      </x:c>
    </x:row>
    <x:row r="72" ht="62" customHeight="1">
      <x:c r="A72" s="14" t="str">
        <x:v>M086</x:v>
      </x:c>
      <x:c r="B72" s="14" t="str">
        <x:v>充值到账订单数</x:v>
      </x:c>
      <x:c r="C72" s="14" t="str">
        <x:v>标准指标</x:v>
      </x:c>
      <x:c r="D72" s="14" t="str">
        <x:v>充值已成功到账的不同订单数</x:v>
      </x:c>
      <x:c r="E72" s="14" t="str">
        <x:v>recharge_credit_status_change.credit_status=success 的不同订单数</x:v>
      </x:c>
      <x:c r="F72" s="14" t="str">
        <x:v>单</x:v>
      </x:c>
      <x:c r="G72" s="14" t="str">
        <x:v>同一订单最多计一次到账成功</x:v>
      </x:c>
      <x:c r="H72" s="14" t="str">
        <x:v>到账成功业务日、渠道、平台、支付方式、到账类型、PID</x:v>
      </x:c>
      <x:c r="I72" s="14" t="str">
        <x:v>到账失败、重复状态、仍在观察中的订单</x:v>
      </x:c>
      <x:c r="J72" s="14" t="str">
        <x:v>逸品日报“总充值成功次数”当前先映射 M060 支付成功订单数；只有确认其终点为权益或金币到账成功后，才可改映射本指标</x:v>
      </x:c>
      <x:c r="K72" s="14" t="str">
        <x:v>尚未接入</x:v>
      </x:c>
      <x:c r="L72" s="14" t="str">
        <x:v>统计窗口内会员权益或金币最终到账成功的订单笔数</x:v>
      </x:c>
      <x:c r="M72" s="14" t="str">
        <x:v>核心经营总览；支付链路与到账质量</x:v>
      </x:c>
      <x:c r="N72" s="14" t="str">
        <x:v>全站指标体系.md（M086，v0.24-draft）；BI-产品需求文档.md:708；CoreOverviewDesignFixture.tsx；BI-产品需求文档.md:1484；extended-board-model.ts:119</x:v>
      </x:c>
      <x:c r="O72" s="14" t="str">
        <x:v>未找到可直接使用的接口
—</x:v>
      </x:c>
      <x:c r="P72" s="14" t="str">
        <x:v>—</x:v>
      </x:c>
    </x:row>
    <x:row r="73" ht="126" customHeight="1">
      <x:c r="A73" s="14" t="str">
        <x:v>M087</x:v>
      </x:c>
      <x:c r="B73" s="14" t="str">
        <x:v>活跃用户人均充值金额（ARPU）</x:v>
      </x:c>
      <x:c r="C73" s="14" t="str">
        <x:v>标准指标</x:v>
      </x:c>
      <x:c r="D73" s="14" t="str">
        <x:v>Notion 技术字典未登记；其他现有资料显示后台已有同名或近似指标，但尚未提供可核对的统一技术定义。</x:v>
      </x:c>
      <x:c r="E73" s="14" t="str">
        <x:v>总充值金额 ÷ 日活跃用户数
支付方式同范围活跃用户基数（人，计算输入）：COUNT(DISTINCT active user_id)，限定同一合法用户范围</x:v>
      </x:c>
      <x:c r="F73" s="14" t="str">
        <x:v>元/人</x:v>
      </x:c>
      <x:c r="G73" s="14" t="str">
        <x:v>同一到账订单只计一次并累加金额；同一活跃用户只计一次</x:v>
      </x:c>
      <x:c r="H73" s="14" t="str">
        <x:v>业务日或查询区间、渠道、平台、PID、商品类型</x:v>
      </x:c>
      <x:c r="I73" s="14" t="str">
        <x:v>失败或未到账订单、测试账号</x:v>
      </x:c>
      <x:c r="J73" s="14" t="str">
        <x:v>日报“总充值ARPU”的活跃分母与跨日算法未明确
分母引用M016；支付方式是否能划定同范围活跃用户需另确认，不能用付费用户代替。
M061/M087分母，不能用全站活跃冒充某支付方式分母；周期语义依权威。</x:v>
      </x:c>
      <x:c r="K73" s="14" t="str">
        <x:v>总体：diamondChargeAmt / loginUserCount</x:v>
      </x:c>
      <x:c r="L73" s="14" t="str">
        <x:v>统计窗口内每名活跃用户平均贡献的充值金额，包括未付费活跃用户；金额为人民币元，保留接口数值；金额覆盖范围与业务时间归属待验数。纯金额按所选完整业务日提供合计及日均，人均金额不平均，不跨平台汇总。</x:v>
      </x:c>
      <x:c r="M73" s="14" t="str">
        <x:v>核心经营总览；会员与付费经营；支付链路与到账质量</x:v>
      </x:c>
      <x:c r="N73" s="14" t="str">
        <x:v>全站指标体系.md（M087，v0.24-draft）；BI-产品需求文档.md:708；operating-detail-columns.ts；BI-产品需求文档.md:1384；extended-board-model.ts:119；BI-产品需求文档.md:1484；payment-order-reading.ts
支付方式同范围活跃用户基数（payment_scope_active_users）：BI-产品需求文档.md:1484；payment-order-reading.ts</x:v>
      </x:c>
      <x:c r="O73" s="14" t="str">
        <x:v>/api/admin/statistics/pDaySum
总体：diamondChargeAmt；loginUserCount
支付方式同范围活跃用户基数：
/api/admin/statistics/pDaySum
M016候选：loginUserCount（须核对相同身份、日期及用户范围）</x:v>
      </x:c>
      <x:c r="P73" s="14" t="str">
        <x:v>支付方式同范围活跃用户基数：未支持【总体；微信 / 支付宝】单日、逐日趋势、区间去重人数、日均</x:v>
      </x:c>
    </x:row>
    <x:row r="74" ht="78" customHeight="1">
      <x:c r="A74" s="14" t="str">
        <x:v>M088</x:v>
      </x:c>
      <x:c r="B74" s="14" t="str">
        <x:v>新增用户人均充值金额（ARPU）</x:v>
      </x:c>
      <x:c r="C74" s="14" t="str">
        <x:v>标准指标</x:v>
      </x:c>
      <x:c r="D74" s="14" t="str">
        <x:v>Notion 技术字典未登记；其他现有资料显示后台已有同名或近似指标，但尚未提供可核对的统一技术定义。</x:v>
      </x:c>
      <x:c r="E74" s="14" t="str">
        <x:v>新增用户充值金额 ÷ 新增用户数</x:v>
      </x:c>
      <x:c r="F74" s="14" t="str">
        <x:v>元/人</x:v>
      </x:c>
      <x:c r="G74" s="14" t="str">
        <x:v>同一到账订单只计一次并累加金额；同一新增用户只计一次</x:v>
      </x:c>
      <x:c r="H74" s="14" t="str">
        <x:v>注册业务日、渠道、平台、PID</x:v>
      </x:c>
      <x:c r="I74" s="14" t="str">
        <x:v>老用户、失败或未到账订单、测试账号</x:v>
      </x:c>
      <x:c r="J74" s="14" t="str">
        <x:v>日报字段未明确分母是否为扣前新增用户数</x:v>
      </x:c>
      <x:c r="K74" s="14" t="str">
        <x:v>总体：newUserDiamondChargeAmt / registerUserCount</x:v>
      </x:c>
      <x:c r="L74" s="14" t="str">
        <x:v>当天每名新增用户平均贡献的注册当日充值金额；金额为人民币元，保留接口数值；金额覆盖范围与业务时间归属待验数。纯金额按所选完整业务日提供合计及日均，人均金额不平均，不跨平台汇总。</x:v>
      </x:c>
      <x:c r="M74" s="14" t="str">
        <x:v>核心经营总览；获客与新增；会员与付费经营</x:v>
      </x:c>
      <x:c r="N74" s="14" t="str">
        <x:v>全站指标体系.md（M088，v0.24-draft）；BI-产品需求文档.md:708；operating-detail-columns.ts；BI-产品需求文档.md:1072；acquisition-channel-quality.ts；BI-产品需求文档.md:1384；extended-board-model.ts:119</x:v>
      </x:c>
      <x:c r="O74" s="14" t="str">
        <x:v>/api/admin/statistics/pDaySum
总体：newUserDiamondChargeAmt；registerUserCount</x:v>
      </x:c>
      <x:c r="P74" s="14" t="str">
        <x:v>—</x:v>
      </x:c>
    </x:row>
    <x:row r="75" ht="78" customHeight="1">
      <x:c r="A75" s="14" t="str">
        <x:v>M090</x:v>
      </x:c>
      <x:c r="B75" s="14" t="str">
        <x:v>支付提交-充值到账转化率</x:v>
      </x:c>
      <x:c r="C75" s="14" t="str">
        <x:v>标准指标</x:v>
      </x:c>
      <x:c r="D75" s="14" t="str">
        <x:v>已提交支付的有效充值请求中，最终会员权益或金币到账成功的比例</x:v>
      </x:c>
      <x:c r="E75" s="14" t="str">
        <x:v>充值到账订单数 ÷ 支付提交次数</x:v>
      </x:c>
      <x:c r="F75" s="14" t="str">
        <x:v>%</x:v>
      </x:c>
      <x:c r="G75" s="14" t="str">
        <x:v>同一次支付提交和最终到账订单各只计一次，并按同一支付链路匹配</x:v>
      </x:c>
      <x:c r="H75" s="14" t="str">
        <x:v>业务日、渠道、平台、支付方式、商品、到账类型、PID；需设置支付观察窗口</x:v>
      </x:c>
      <x:c r="I75" s="14" t="str">
        <x:v>重复请求、重复状态、仍在观察窗口、测试订单</x:v>
      </x:c>
      <x:c r="J75" s="14" t="str">
        <x:v>本指标覆盖“支付提交至最终到账”，不等于逸品日报 M114 订单获取-支付成功转化率，两个漏斗的起点和终点都不同</x:v>
      </x:c>
      <x:c r="K75" s="14" t="str">
        <x:v>尚未接入</x:v>
      </x:c>
      <x:c r="L75" s="14" t="str">
        <x:v>已提交支付的有效充值请求中，最终会员权益或金币到账成功的比例</x:v>
      </x:c>
      <x:c r="M75" s="14" t="str">
        <x:v>核心经营总览；支付链路与到账质量</x:v>
      </x:c>
      <x:c r="N75" s="14" t="str">
        <x:v>全站指标体系.md（M090，v0.24-draft）；BI-产品需求文档.md:708；CoreOverviewDesignFixture.tsx；operating-detail-columns.ts；BI-产品需求文档.md:1484；extended-board-model.ts:119</x:v>
      </x:c>
      <x:c r="O75" s="14" t="str">
        <x:v>未找到可直接使用的接口
—</x:v>
      </x:c>
      <x:c r="P75" s="14" t="str">
        <x:v>—</x:v>
      </x:c>
    </x:row>
    <x:row r="76" ht="78" customHeight="1">
      <x:c r="A76" s="14" t="str">
        <x:v>M091</x:v>
      </x:c>
      <x:c r="B76" s="14" t="str">
        <x:v>应用启动次数</x:v>
      </x:c>
      <x:c r="C76" s="14" t="str">
        <x:v>标准指标</x:v>
      </x:c>
      <x:c r="D76" s="14" t="str">
        <x:v>Notion 技术字典未登记；其他现有资料显示后台已有同名或近似指标，但尚未提供可核对的统一技术定义。</x:v>
      </x:c>
      <x:c r="E76" s="14" t="str">
        <x:v>有效启动记录数</x:v>
      </x:c>
      <x:c r="F76" s="14" t="str">
        <x:v>次</x:v>
      </x:c>
      <x:c r="G76" s="14" t="str">
        <x:v>同一次启动只计一次；重复上报不重复计算</x:v>
      </x:c>
      <x:c r="H76" s="14" t="str">
        <x:v>业务日、平台、应用版本、PID</x:v>
      </x:c>
      <x:c r="I76" s="14" t="str">
        <x:v>预加载、健康检查、重复发送、测试启动</x:v>
      </x:c>
      <x:c r="J76" s="14" t="str">
        <x:v>现有后台“启动量”的唯一键与新埋点尚未完成验数，不能直接拼接两套历史序列</x:v>
      </x:c>
      <x:c r="K76" s="14" t="str">
        <x:v>尚未接入</x:v>
      </x:c>
      <x:c r="L76" s="14" t="str">
        <x:v>App 或 Web 产品被用户实际启动并进入前台的次数；同一次启动只计一次</x:v>
      </x:c>
      <x:c r="M76" s="14" t="str">
        <x:v>产品体验与启动质量</x:v>
      </x:c>
      <x:c r="N76" s="14" t="str">
        <x:v>全站指标体系.md（M091，v0.24-draft）；BI-产品需求文档.md:1741；extended-board-model.ts:119；version-performance-fixtures.ts:460；version-performance-fixtures.ts:377</x:v>
      </x:c>
      <x:c r="O76" s="14" t="str">
        <x:v>/api/admin/statistics/trackEventsReport/getEventStats；/api/admin/statistics/pDaySum
相关字段待核：appStart；pid；reportDate；activeUser；loginUserCount；androidLoginUserCount；iosLoginUserCount；sumDate</x:v>
      </x:c>
      <x:c r="P76" s="14" t="str">
        <x:v>—</x:v>
      </x:c>
    </x:row>
    <x:row r="77" ht="62" customHeight="1">
      <x:c r="A77" s="14" t="str">
        <x:v>M092</x:v>
      </x:c>
      <x:c r="B77" s="14" t="str">
        <x:v>搜索次数</x:v>
      </x:c>
      <x:c r="C77" s="14" t="str">
        <x:v>标准指标</x:v>
      </x:c>
      <x:c r="D77" s="14" t="str">
        <x:v>不同搜索标识的有效搜索提交记录数</x:v>
      </x:c>
      <x:c r="E77" s="14" t="str">
        <x:v>不同 search_id 的有效 search_query_submit 数</x:v>
      </x:c>
      <x:c r="F77" s="14" t="str">
        <x:v>次</x:v>
      </x:c>
      <x:c r="G77" s="14" t="str">
        <x:v>同一次用户搜索只计一次；自动重试不重复计算</x:v>
      </x:c>
      <x:c r="H77" s="14" t="str">
        <x:v>业务日、平台、PID；搜索词作为 BI 维度下钻</x:v>
      </x:c>
      <x:c r="I77" s="14" t="str">
        <x:v>空词、客户端校验未通过、重复 search_id、测试流量</x:v>
      </x:c>
      <x:c r="J77" s="14" t="str">
        <x:v>旧后台若以接口请求数计次，自动重试可能导致与用户搜索次数不一致</x:v>
      </x:c>
      <x:c r="K77" s="14" t="str">
        <x:v>尚未接入</x:v>
      </x:c>
      <x:c r="L77" s="14" t="str">
        <x:v>用户通过输入词、热词、历史词或推荐词发起有效搜索的次数，不要求搜索成功返回结果</x:v>
      </x:c>
      <x:c r="M77" s="14" t="str">
        <x:v>内容发现与互动</x:v>
      </x:c>
      <x:c r="N77" s="14" t="str">
        <x:v>全站指标体系.md（M092，v0.24-draft）；BI-产品需求文档.md:1590；content-discovery-analysis-model.ts:69</x:v>
      </x:c>
      <x:c r="O77" s="14" t="str">
        <x:v>/api/admin/statistics/hotSearchWords/getMany
相关字段待核：pid；words；searchCnt</x:v>
      </x:c>
      <x:c r="P77" s="14" t="str">
        <x:v>—</x:v>
      </x:c>
    </x:row>
    <x:row r="78" ht="62" customHeight="1">
      <x:c r="A78" s="14" t="str">
        <x:v>M093</x:v>
      </x:c>
      <x:c r="B78" s="14" t="str">
        <x:v>搜索用户数</x:v>
      </x:c>
      <x:c r="C78" s="14" t="str">
        <x:v>标准指标</x:v>
      </x:c>
      <x:c r="D78" s="14" t="str">
        <x:v>存在有效搜索提交记录的不同用户数</x:v>
      </x:c>
      <x:c r="E78" s="14" t="str">
        <x:v>存在有效 search_query_submit 的不同用户数</x:v>
      </x:c>
      <x:c r="F78" s="14" t="str">
        <x:v>人</x:v>
      </x:c>
      <x:c r="G78" s="14" t="str">
        <x:v>同一用户在整个统计周期只计一次</x:v>
      </x:c>
      <x:c r="H78" s="14" t="str">
        <x:v>业务日或查询区间、平台、PID；搜索词作为 BI 维度下钻</x:v>
      </x:c>
      <x:c r="I78" s="14" t="str">
        <x:v>身份缺失、空词、重复 search_id、测试流量</x:v>
      </x:c>
      <x:c r="J78" s="14" t="str">
        <x:v>每日用户数不能直接相加得到区间搜索用户数</x:v>
      </x:c>
      <x:c r="K78" s="14" t="str">
        <x:v>尚未接入</x:v>
      </x:c>
      <x:c r="L78" s="14" t="str">
        <x:v>统计窗口内至少发起过一次有效搜索的去重用户数</x:v>
      </x:c>
      <x:c r="M78" s="14" t="str">
        <x:v>内容发现与互动</x:v>
      </x:c>
      <x:c r="N78" s="14" t="str">
        <x:v>全站指标体系.md（M093，v0.24-draft）；BI-产品需求文档.md:1590；content-discovery-analysis-model.ts:69；ContentDiscoveryBoard.tsx</x:v>
      </x:c>
      <x:c r="O78" s="14" t="str">
        <x:v>/api/admin/statistics/hotSearchWords/getMany
相关字段待核：pid；words；searchCnt</x:v>
      </x:c>
      <x:c r="P78" s="14" t="str">
        <x:v>—</x:v>
      </x:c>
    </x:row>
    <x:row r="79" ht="126" customHeight="1">
      <x:c r="A79" s="14" t="str">
        <x:v>M094</x:v>
      </x:c>
      <x:c r="B79" s="14" t="str">
        <x:v>广告点击用户数</x:v>
      </x:c>
      <x:c r="C79" s="14" t="str">
        <x:v>标准指标</x:v>
      </x:c>
      <x:c r="D79" s="14" t="str">
        <x:v>统计窗口内至少真实点击一次广告的去重用户数</x:v>
      </x:c>
      <x:c r="E79" s="14" t="str">
        <x:v>存在有效广告点击记录的不同用户数</x:v>
      </x:c>
      <x:c r="F79" s="14" t="str">
        <x:v>人</x:v>
      </x:c>
      <x:c r="G79" s="14" t="str">
        <x:v>同一用户在整个统计周期只计一次</x:v>
      </x:c>
      <x:c r="H79" s="14" t="str">
        <x:v>业务日或查询区间、广告位、素材、渠道、平台、PID</x:v>
      </x:c>
      <x:c r="I79" s="14" t="str">
        <x:v>自动跳转、跳过动作、身份缺失、重复发送、测试流量</x:v>
      </x:c>
      <x:c r="J79" s="14" t="str">
        <x:v>现有后台不同页面的点击人数可能使用不同身份键，多日直接相加也会重复</x:v>
      </x:c>
      <x:c r="K79" s="14" t="str">
        <x:v>新用户 × 导航广告：navClickedNewPerson；新用户 × 后台总点击：newUserTotalClickedPerson；新用户 × 广告：adsClickedNewPerson；广告：adsClickedPerson；导航广告：navClickedPerson；后台总点击：totalClickedPerson</x:v>
      </x:c>
      <x:c r="L79" s="14" t="str">
        <x:v>先保留现有数据并验数；新埋点按统一身份规则计算，区间用户数重新真去重；采用后台日汇总对应切片的直接结果，不相加或推算总体；身份去重方式待验数。</x:v>
      </x:c>
      <x:c r="M79" s="14" t="str">
        <x:v>核心经营总览</x:v>
      </x:c>
      <x:c r="N79" s="14" t="str">
        <x:v>全站指标体系.md（M094，v0.24-draft）；BI-产品需求文档.md:708；AdvertisingOverview.tsx；operating-detail-columns.ts</x:v>
      </x:c>
      <x:c r="O79" s="14" t="str">
        <x:v>/api/admin/statistics/pDaySum
新用户 × 导航广告：navClickedNewPerson
新用户 × 后台总点击：newUserTotalClickedPerson
新用户 × 广告：adsClickedNewPerson
广告：adsClickedPerson
导航广告：navClickedPerson
后台总点击：totalClickedPerson</x:v>
      </x:c>
      <x:c r="P79" s="14" t="str">
        <x:v>—</x:v>
      </x:c>
    </x:row>
    <x:row r="80" ht="78" customHeight="1">
      <x:c r="A80" s="14" t="str">
        <x:v>M095</x:v>
      </x:c>
      <x:c r="B80" s="14" t="str">
        <x:v>落地页下载IP数（去重）</x:v>
      </x:c>
      <x:c r="C80" s="14" t="str">
        <x:v>标准指标</x:v>
      </x:c>
      <x:c r="D80" s="14" t="str">
        <x:v>现有后台按统计日、下载目标分别对发生下载点击的 IP 去重后相加；同一 IP 跨目标或跨天可能重复。</x:v>
      </x:c>
      <x:c r="E80" s="14" t="str">
        <x:v>各下载目标的下载点击 IP 按业务日去重后相加</x:v>
      </x:c>
      <x:c r="F80" s="14" t="str">
        <x:v>IP</x:v>
      </x:c>
      <x:c r="G80" s="14" t="str">
        <x:v>同一 IP、同一下载目标每天只计一次；跨目标或跨天分别计数</x:v>
      </x:c>
      <x:c r="H80" s="14" t="str">
        <x:v>业务日、渠道、下载目标、PID</x:v>
      </x:c>
      <x:c r="I80" s="14" t="str">
        <x:v>无 IP、机器人、脚本触发、预览与内部流量</x:v>
      </x:c>
      <x:c r="J80" s="14" t="str">
        <x:v>IP 只能作为下载意图的历史代理；共享网络会合并多人，换 IP 或跨下载目标会拆分同一人</x:v>
      </x:c>
      <x:c r="K80" s="14" t="str">
        <x:v>各下载目标的下载点击 IP 按业务日去重后相加</x:v>
      </x:c>
      <x:c r="L80" s="14" t="str">
        <x:v>作为历史去重下载意图代理使用，不命名为下载用户数</x:v>
      </x:c>
      <x:c r="M80" s="14" t="str">
        <x:v>获客与新增</x:v>
      </x:c>
      <x:c r="N80" s="14" t="str">
        <x:v>全站指标体系.md（M095，v0.24-draft）；全站指标体系.md:271</x:v>
      </x:c>
      <x:c r="O80" s="14" t="str">
        <x:v>/api/admin/statistics/channel/channelStatByTypeV2
可复用：totalDownCountByIp
未找到可直接使用的接口
—</x:v>
      </x:c>
      <x:c r="P80" s="14" t="str">
        <x:v>—</x:v>
      </x:c>
    </x:row>
    <x:row r="81" ht="62" customHeight="1">
      <x:c r="A81" s="14" t="str">
        <x:v>M097</x:v>
      </x:c>
      <x:c r="B81" s="14" t="str">
        <x:v>起播次数</x:v>
      </x:c>
      <x:c r="C81" s="14" t="str">
        <x:v>标准指标</x:v>
      </x:c>
      <x:c r="D81" s="14" t="str">
        <x:v>按播放尝试标识去重后的次数，条件为关联的视频首帧成功展示</x:v>
      </x:c>
      <x:c r="E81" s="14" t="str">
        <x:v>COUNT(DISTINCT video_play_start.event_id)，条件为关联的 video_play_result.result_status=success</x:v>
      </x:c>
      <x:c r="F81" s="14" t="str">
        <x:v>次</x:v>
      </x:c>
      <x:c r="G81" s="14" t="str">
        <x:v>同一次播放尝试最多计1次；相同播放事实的重试结果不重复计算</x:v>
      </x:c>
      <x:c r="H81" s="14" t="str">
        <x:v>业务日、平台、PID、渠道、视频ID、视频类型、内容分类、来源页面、来源列表</x:v>
      </x:c>
      <x:c r="I81" s="14" t="str">
        <x:v>未成功出现首帧、缺少关联结果、重复上报、终态未成熟、测试流量</x:v>
      </x:c>
      <x:c r="J81" s="14" t="str">
        <x:v>查询别名保留“视频播放次数”；不把内容接口中含义未验证的累计观看量直接视为本指标</x:v>
      </x:c>
      <x:c r="K81" s="14" t="str">
        <x:v>尚未接入</x:v>
      </x:c>
      <x:c r="L81" s="14" t="str">
        <x:v>视频播放尝试已经成功完成首帧播放的次数</x:v>
      </x:c>
      <x:c r="M81" s="14" t="str">
        <x:v>视频消费表现；播放与观看质量</x:v>
      </x:c>
      <x:c r="N81" s="14" t="str">
        <x:v>全站指标体系.md（M097，v0.24-draft）；BI-产品需求文档.md:1288；TopicPreviews.tsx；BI-产品需求文档.md:1522；extended-board-model.ts:119</x:v>
      </x:c>
      <x:c r="O81" s="14" t="str">
        <x:v>未找到可直接使用的接口
—</x:v>
      </x:c>
      <x:c r="P81" s="14" t="str">
        <x:v>—</x:v>
      </x:c>
    </x:row>
    <x:row r="82" ht="78" customHeight="1">
      <x:c r="A82" s="14" t="str">
        <x:v>M098</x:v>
      </x:c>
      <x:c r="B82" s="14" t="str">
        <x:v>观影用户人均观影时长</x:v>
      </x:c>
      <x:c r="C82" s="14" t="str">
        <x:v>标准指标</x:v>
      </x:c>
      <x:c r="D82" s="14" t="str">
        <x:v>统计窗口内，每名至少发生过一次视频播放的观影用户平均产生的实际前台观看时长</x:v>
      </x:c>
      <x:c r="E82" s="14" t="str">
        <x:v>统计窗口内全部合格 video_watch_stay.watch_duration_ms 之和 ÷ M026 观影用户数</x:v>
      </x:c>
      <x:c r="F82" s="14" t="str">
        <x:v>分钟/人</x:v>
      </x:c>
      <x:c r="G82" s="14" t="str">
        <x:v>相同观看记录不重复累计；同一观影用户在统计窗口内只计一次；只有播放尝试但没有合格观看时长的观影用户以 0 时长进入分母</x:v>
      </x:c>
      <x:c r="H82" s="14" t="str">
        <x:v>业务日、渠道、PID、视频；按 Android / iOS、自然新增 / 内部导量、新用户 / 老用户查看</x:v>
      </x:c>
      <x:c r="I82" s="14" t="str">
        <x:v>暂停、缓冲、进入后台的时间，重复观看记录，测试流量，身份缺失，分母为0</x:v>
      </x:c>
      <x:c r="J82" s="14" t="str">
        <x:v>底层统一使用毫秒，展示时转换为秒或分钟；不限定新增用户，不要求达到有效观看标准</x:v>
      </x:c>
      <x:c r="K82" s="14" t="str">
        <x:v>总体：totalUserWatchTime / watchUserCount / 60</x:v>
      </x:c>
      <x:c r="L82" s="14" t="str">
        <x:v>统计窗口内，每名至少发生过一次视频播放的观影用户平均产生的实际前台观看时长；接口记录时长，暂按秒换算，未额外剔除暂停、缓冲及后台时间；待验数。与正式指标的实际前台观看时长口径仍待核对。</x:v>
      </x:c>
      <x:c r="M82" s="14" t="str">
        <x:v>视频消费表现</x:v>
      </x:c>
      <x:c r="N82" s="14" t="str">
        <x:v>全站指标体系.md（M098，v0.24-draft）；BI-产品需求文档.md:1288；TopicPreviews.tsx</x:v>
      </x:c>
      <x:c r="O82" s="14" t="str">
        <x:v>/api/admin/statistics/channel/channelStatByTypeV2
总体：totalUserWatchTime；watchUserCount</x:v>
      </x:c>
      <x:c r="P82" s="14" t="str">
        <x:v>—</x:v>
      </x:c>
    </x:row>
    <x:row r="83" ht="78" customHeight="1">
      <x:c r="A83" s="14" t="str">
        <x:v>M099</x:v>
      </x:c>
      <x:c r="B83" s="14" t="str">
        <x:v>访问-下载点击转化率（去重）</x:v>
      </x:c>
      <x:c r="C83" s="14" t="str">
        <x:v>标准指标</x:v>
      </x:c>
      <x:c r="D83" s="14" t="str">
        <x:v>现有后台具备落地页访问 IP 与下载点击 IP 统计，但去重转化率尚未作为独立统一指标登记。</x:v>
      </x:c>
      <x:c r="E83" s="14" t="str">
        <x:v>落地页下载IP数（去重） ÷ 落地页访问IP数（去重）</x:v>
      </x:c>
      <x:c r="F83" s="14" t="str">
        <x:v>%</x:v>
      </x:c>
      <x:c r="G83" s="14" t="str">
        <x:v>同一 IP、同一下载目标在每个业务日的访问和下载点击分别只计一次</x:v>
      </x:c>
      <x:c r="H83" s="14" t="str">
        <x:v>同一业务日、渠道、下载目标、PID</x:v>
      </x:c>
      <x:c r="I83" s="14" t="str">
        <x:v>无 IP、机器人、脚本触发、预览、内部与测试流量</x:v>
      </x:c>
      <x:c r="J83" s="14" t="str">
        <x:v>IP 是访客代理，同一人换 IP 或多人共享 IP 均会影响结果；跨天结果不能直接当作区间用户转化</x:v>
      </x:c>
      <x:c r="K83" s="14" t="str">
        <x:v>落地页下载IP数（去重） ÷ 落地页访问IP数（去重）</x:v>
      </x:c>
      <x:c r="L83" s="14" t="str">
        <x:v>同一范围内，按 IP 去重后的落地页访客中产生下载点击意图的比例</x:v>
      </x:c>
      <x:c r="M83" s="14" t="str">
        <x:v>获客与新增；核心经营总览</x:v>
      </x:c>
      <x:c r="N83" s="14" t="str">
        <x:v>全站指标体系.md（M099，v0.24-draft）；BI-产品需求文档.md:1072；acquisition-channel-quality.ts；acquisition-preview-model.ts；BI-产品需求文档.md:772</x:v>
      </x:c>
      <x:c r="O83" s="14" t="str">
        <x:v>/api/admin/statistics/channel/channelStatByTypeV2
可复用：totalDownCountByIp；ipStatTotalCount
未找到可直接使用的接口
—</x:v>
      </x:c>
      <x:c r="P83" s="14" t="str">
        <x:v>—</x:v>
      </x:c>
    </x:row>
    <x:row r="84" ht="46" customHeight="1">
      <x:c r="A84" s="14" t="str">
        <x:v>M100</x:v>
      </x:c>
      <x:c r="B84" s="14" t="str">
        <x:v>48小时再次激活率</x:v>
      </x:c>
      <x:c r="C84" s="14" t="str">
        <x:v>标准指标</x:v>
      </x:c>
      <x:c r="D84" s="14" t="str">
        <x:v>首次体验失败用户中，结束后48小时内再次进入产品并完成有效观看的用户比例</x:v>
      </x:c>
      <x:c r="E84" s="14" t="str">
        <x:v>48小时内再激活成功人数 ÷ 首次体验失败人数</x:v>
      </x:c>
      <x:c r="F84" s="14" t="str">
        <x:v>%</x:v>
      </x:c>
      <x:c r="G84" s="14" t="str">
        <x:v>同一首次体验失败用户只计一次；在窗口内首次完成有效观看时计为成功</x:v>
      </x:c>
      <x:c r="H84" s="14" t="str">
        <x:v>首次体验结束后滚动48小时，加迟到缓冲</x:v>
      </x:c>
      <x:c r="I84" s="14" t="str">
        <x:v>观察中窗口、48小时外激活、未进入失败人群</x:v>
      </x:c>
      <x:c r="J84" s="14" t="str">
        <x:v>与72小时口径使用同一失败人群和有效观看标准，只缩短观察窗口</x:v>
      </x:c>
      <x:c r="K84" s="14" t="str">
        <x:v>尚未接入</x:v>
      </x:c>
      <x:c r="L84" s="14" t="str">
        <x:v>首次体验失败用户中，结束后48小时内再次进入产品并完成有效观看的用户比例</x:v>
      </x:c>
      <x:c r="M84" s="14" t="str">
        <x:v>活跃与留存</x:v>
      </x:c>
      <x:c r="N84" s="14" t="str">
        <x:v>全站指标体系.md（M100，v0.24-draft）；BI-产品需求文档.md:1184；topic-preview-fixtures.ts</x:v>
      </x:c>
      <x:c r="O84" s="14" t="str">
        <x:v>未找到可直接使用的接口
—</x:v>
      </x:c>
      <x:c r="P84" s="14" t="str">
        <x:v>—</x:v>
      </x:c>
    </x:row>
    <x:row r="85" ht="78" customHeight="1">
      <x:c r="A85" s="14" t="str">
        <x:v>M101</x:v>
      </x:c>
      <x:c r="B85" s="14" t="str">
        <x:v>观影次数</x:v>
      </x:c>
      <x:c r="C85" s="14" t="str">
        <x:v>标准指标</x:v>
      </x:c>
      <x:c r="D85" s="14" t="str">
        <x:v>合法视频播放尝试数</x:v>
      </x:c>
      <x:c r="E85" s="14" t="str">
        <x:v>合法视频播放尝试数</x:v>
      </x:c>
      <x:c r="F85" s="14" t="str">
        <x:v>次</x:v>
      </x:c>
      <x:c r="G85" s="14" t="str">
        <x:v>同一次播放尝试只计一次；重复开始记录不重复计算</x:v>
      </x:c>
      <x:c r="H85" s="14" t="str">
        <x:v>业务日、渠道、PID、视频；按 Android / iOS、自然新增 / 内部导量、新用户 / 老用户查看</x:v>
      </x:c>
      <x:c r="I85" s="14" t="str">
        <x:v>预加载、重复开始、测试流量、非视频内容</x:v>
      </x:c>
      <x:c r="J85" s="14" t="str">
        <x:v>不要求首帧成功，不能与起播次数或有效观看次数混用</x:v>
      </x:c>
      <x:c r="K85" s="14" t="str">
        <x:v>总体：SUM(288 unique five-minute watchCount buckets)</x:v>
      </x:c>
      <x:c r="L85" s="14" t="str">
        <x:v>用户发起的合法视频播放尝试次数，不论后续首帧是否成功；仅累计所选平台同一业务日完整、无重复的 288 个五分钟统计点；缺点或尚未结束的业务日不生成日总值。开始记录去重及测试流量排除规则待验数。</x:v>
      </x:c>
      <x:c r="M85" s="14" t="str">
        <x:v>视频消费表现；播放与观看质量</x:v>
      </x:c>
      <x:c r="N85" s="14" t="str">
        <x:v>全站指标体系.md（M101，v0.24-draft）；BI-产品需求文档.md:1288；TopicPreviews.tsx；BI-产品需求文档.md:1522；ExtendedBoardPreview.tsx</x:v>
      </x:c>
      <x:c r="O85" s="14" t="str">
        <x:v>/api/admin/home/pRealDayLine
总体：watchCount</x:v>
      </x:c>
      <x:c r="P85" s="14" t="str">
        <x:v>—</x:v>
      </x:c>
    </x:row>
    <x:row r="86" ht="78" customHeight="1">
      <x:c r="A86" s="14" t="str">
        <x:v>M102</x:v>
      </x:c>
      <x:c r="B86" s="14" t="str">
        <x:v>观影总时长</x:v>
      </x:c>
      <x:c r="C86" s="14" t="str">
        <x:v>标准指标</x:v>
      </x:c>
      <x:c r="D86" s="14" t="str">
        <x:v>合格观看记录的实际前台观看时长求和</x:v>
      </x:c>
      <x:c r="E86" s="14" t="str">
        <x:v>合格观看记录的实际前台观看时长求和</x:v>
      </x:c>
      <x:c r="F86" s="14" t="str">
        <x:v>小时</x:v>
      </x:c>
      <x:c r="G86" s="14" t="str">
        <x:v>相同观看记录不重复累计；同一播放的多段前台时长可以累加</x:v>
      </x:c>
      <x:c r="H86" s="14" t="str">
        <x:v>业务日、渠道、PID、视频；按 Android / iOS、自然新增 / 内部导量、新用户 / 老用户查看</x:v>
      </x:c>
      <x:c r="I86" s="14" t="str">
        <x:v>暂停、缓冲、进入后台的时间，重复记录，测试流量</x:v>
      </x:c>
      <x:c r="J86" s="14" t="str">
        <x:v>底层统一使用毫秒，展示时按需要转换为秒、分钟或小时</x:v>
      </x:c>
      <x:c r="K86" s="14" t="str">
        <x:v>总体：totalUserWatchTime / 3600</x:v>
      </x:c>
      <x:c r="L86" s="14" t="str">
        <x:v>统计窗口内全部合格观看记录产生的实际前台观看时长总和；接口记录时长，暂按秒换算，未额外剔除暂停、缓冲及后台时间；待验数。与正式指标的实际前台观看时长口径仍待核对。</x:v>
      </x:c>
      <x:c r="M86" s="14" t="str">
        <x:v>核心经营总览；视频消费表现</x:v>
      </x:c>
      <x:c r="N86" s="14" t="str">
        <x:v>全站指标体系.md（M102，v0.24-draft）；BI-产品需求文档.md:708；CoreOverviewDesignFixture.tsx；operating-detail-columns.ts；BI-产品需求文档.md:1288；TopicPreviews.tsx</x:v>
      </x:c>
      <x:c r="O86" s="14" t="str">
        <x:v>/api/admin/statistics/channel/channelStatByTypeV2
总体：totalUserWatchTime</x:v>
      </x:c>
      <x:c r="P86" s="14" t="str">
        <x:v>—</x:v>
      </x:c>
    </x:row>
    <x:row r="87" ht="62" customHeight="1">
      <x:c r="A87" s="14" t="str">
        <x:v>M104</x:v>
      </x:c>
      <x:c r="B87" s="14" t="str">
        <x:v>复购用户数</x:v>
      </x:c>
      <x:c r="C87" s="14" t="str">
        <x:v>标准指标</x:v>
      </x:c>
      <x:c r="D87" s="14" t="str">
        <x:v>统计窗口内完成个人历史第 2 笔及以后成功到账充值的去重用户数</x:v>
      </x:c>
      <x:c r="E87" s="14" t="str">
        <x:v>统计窗口内完成个人历史第 2 笔及以后成功到账充值的去重用户数</x:v>
      </x:c>
      <x:c r="F87" s="14" t="str">
        <x:v>人</x:v>
      </x:c>
      <x:c r="G87" s="14" t="str">
        <x:v>同一用户在整个统计窗口只计一次；充值顺序按用户完整历史中的成功到账订单判断</x:v>
      </x:c>
      <x:c r="H87" s="14" t="str">
        <x:v>到账成功业务日、渠道、平台、PID、支付方式、商品；支持 Android / iOS 与新用户 / 老用户查看</x:v>
      </x:c>
      <x:c r="I87" s="14" t="str">
        <x:v>首笔充值、失败或未到账订单、测试订单、退款后是否保留序号待治理</x:v>
      </x:c>
      <x:c r="J87" s="14" t="str">
        <x:v>复购必须基于完整历史判断，不能仅在查询窗口内排序；新用户复购表示注册日内或新人阶段已发生第二笔到账</x:v>
      </x:c>
      <x:c r="K87" s="14" t="str">
        <x:v>尚未接入</x:v>
      </x:c>
      <x:c r="L87" s="14" t="str">
        <x:v>统计窗口内至少完成一笔个人历史第 2 笔及以后成功到账充值的去重用户数</x:v>
      </x:c>
      <x:c r="M87" s="14" t="str">
        <x:v>会员与付费经营</x:v>
      </x:c>
      <x:c r="N87" s="14" t="str">
        <x:v>全站指标体系.md（M104，v0.24-draft）；BI-产品需求文档.md:1384；extended-board-model.ts:119</x:v>
      </x:c>
      <x:c r="O87" s="14" t="str">
        <x:v>未找到可直接使用的接口
—</x:v>
      </x:c>
      <x:c r="P87" s="14" t="str">
        <x:v>—</x:v>
      </x:c>
    </x:row>
    <x:row r="88" ht="62" customHeight="1">
      <x:c r="A88" s="14" t="str">
        <x:v>M105</x:v>
      </x:c>
      <x:c r="B88" s="14" t="str">
        <x:v>复购充值金额</x:v>
      </x:c>
      <x:c r="C88" s="14" t="str">
        <x:v>标准指标</x:v>
      </x:c>
      <x:c r="D88" s="14" t="str">
        <x:v>统计窗口内个人历史第 2 笔及以后成功到账充值订单的金额之和</x:v>
      </x:c>
      <x:c r="E88" s="14" t="str">
        <x:v>统计窗口内个人历史第 2 笔及以后成功到账充值订单的金额之和</x:v>
      </x:c>
      <x:c r="F88" s="14" t="str">
        <x:v>元</x:v>
      </x:c>
      <x:c r="G88" s="14" t="str">
        <x:v>同一到账订单只计一次并累加金额；只纳入第 2 笔及以后订单</x:v>
      </x:c>
      <x:c r="H88" s="14" t="str">
        <x:v>到账成功业务日、渠道、平台、PID、支付方式、商品、币种；支持 Android / iOS 与新用户 / 老用户查看</x:v>
      </x:c>
      <x:c r="I88" s="14" t="str">
        <x:v>首笔充值、失败或未到账订单、重复订单、测试订单；退款口径待统一</x:v>
      </x:c>
      <x:c r="J88" s="14" t="str">
        <x:v>只累计复购订单金额，不把复购用户在窗口内的首笔充值金额倒算进来</x:v>
      </x:c>
      <x:c r="K88" s="14" t="str">
        <x:v>尚未接入</x:v>
      </x:c>
      <x:c r="L88" s="14" t="str">
        <x:v>统计窗口内所有复购订单的成功到账充值金额之和</x:v>
      </x:c>
      <x:c r="M88" s="14" t="str">
        <x:v>会员与付费经营</x:v>
      </x:c>
      <x:c r="N88" s="14" t="str">
        <x:v>全站指标体系.md（M105，v0.24-draft）；BI-产品需求文档.md:1384；extended-board-model.ts:119</x:v>
      </x:c>
      <x:c r="O88" s="14" t="str">
        <x:v>未找到可直接使用的接口
—</x:v>
      </x:c>
      <x:c r="P88" s="14" t="str">
        <x:v>—</x:v>
      </x:c>
    </x:row>
    <x:row r="89" ht="94" customHeight="1">
      <x:c r="A89" s="14" t="str">
        <x:v>M106</x:v>
      </x:c>
      <x:c r="B89" s="14" t="str">
        <x:v>视频首页分类Tab点击次数</x:v>
      </x:c>
      <x:c r="C89" s="14" t="str">
        <x:v>标准指标</x:v>
      </x:c>
      <x:c r="D89" s="14" t="str">
        <x:v>视频首页一级、二级分类分类标签的有效切换点击次数</x:v>
      </x:c>
      <x:c r="E89" s="14" t="str">
        <x:v>视频首页一级、二级分类 Tab 的有效切换点击次数</x:v>
      </x:c>
      <x:c r="F89" s="14" t="str">
        <x:v>次</x:v>
      </x:c>
      <x:c r="G89" s="14" t="str">
        <x:v>同一次点击只计一次；相同业务事实的重复发送不重复计算</x:v>
      </x:c>
      <x:c r="H89" s="14" t="str">
        <x:v>业务日或查询区间、平台、PID、分类层级、一级分类、二级分类、Tab位置</x:v>
      </x:c>
      <x:c r="I89" s="14" t="str">
        <x:v>点击当前已选分类且未切换内容、默认自动选中、程序触发切换、缺少稳定分类标识、测试流量</x:v>
      </x:c>
      <x:c r="J89" s="14" t="str">
        <x:v>当前事件仅覆盖一级分类且仍为草稿，尚不能区分一级与二级；没有已确认可返回分类 Tab 点击的接口，暂不生成曝光-点击转化率</x:v>
      </x:c>
      <x:c r="K89" s="14" t="str">
        <x:v>尚未接入</x:v>
      </x:c>
      <x:c r="L89" s="14" t="str">
        <x:v>用户在视频首页点击一级或二级分类 Tab，并触发对应内容切换或请求的次数；二级分类按第二组内容切换 Tab 处理，不归入高级筛选操作</x:v>
      </x:c>
      <x:c r="M89" s="14" t="str">
        <x:v>内容发现与互动</x:v>
      </x:c>
      <x:c r="N89" s="14" t="str">
        <x:v>全站指标体系.md（M106，v0.24-draft）；BI-产品需求文档.md:1590；ContentDiscoveryBoard.tsx</x:v>
      </x:c>
      <x:c r="O89" s="14" t="str">
        <x:v>/api/admin/serverCfg/categories/get；/api/admin/statistics/todayVideos/getVideoStatsByCategories；/api/admin/statistics/navs
相关字段待核：id；name；children；clickedCountRank[].categoryName；clickedCountRank[].clickedCount；navMark；cateName；pos；navClickTotalCount；navClickIpsCount</x:v>
      </x:c>
      <x:c r="P89" s="14" t="str">
        <x:v>—</x:v>
      </x:c>
    </x:row>
    <x:row r="90" ht="94" customHeight="1">
      <x:c r="A90" s="14" t="str">
        <x:v>M107</x:v>
      </x:c>
      <x:c r="B90" s="14" t="str">
        <x:v>视频首页分类Tab点击用户数</x:v>
      </x:c>
      <x:c r="C90" s="14" t="str">
        <x:v>标准指标</x:v>
      </x:c>
      <x:c r="D90" s="14" t="str">
        <x:v>至少完成一次视频首页一级或二级分类分类标签有效切换点击的不同用户数</x:v>
      </x:c>
      <x:c r="E90" s="14" t="str">
        <x:v>至少完成一次视频首页一级或二级分类 Tab 有效切换点击的不同用户数</x:v>
      </x:c>
      <x:c r="F90" s="14" t="str">
        <x:v>人</x:v>
      </x:c>
      <x:c r="G90" s="14" t="str">
        <x:v>同一用户在整个统计窗口只计一次；优先按账号识别，无账号时按设备识别，均缺失时不计入</x:v>
      </x:c>
      <x:c r="H90" s="14" t="str">
        <x:v>业务日或查询区间、平台、PID、分类层级、一级分类、二级分类、Tab位置</x:v>
      </x:c>
      <x:c r="I90" s="14" t="str">
        <x:v>点击当前已选分类且未切换内容、默认自动选中、程序触发切换、身份缺失、缺少稳定分类标识、测试流量</x:v>
      </x:c>
      <x:c r="J90" s="14" t="str">
        <x:v>当前事件仅覆盖一级分类且仍为草稿，尚不能区分一级与二级；没有已确认可返回分类 Tab 点击用户数的接口</x:v>
      </x:c>
      <x:c r="K90" s="14" t="str">
        <x:v>尚未接入</x:v>
      </x:c>
      <x:c r="L90" s="14" t="str">
        <x:v>统计窗口内至少点击一次视频首页一级或二级分类 Tab，并触发对应内容切换或请求的去重用户数</x:v>
      </x:c>
      <x:c r="M90" s="14" t="str">
        <x:v>内容发现与互动</x:v>
      </x:c>
      <x:c r="N90" s="14" t="str">
        <x:v>全站指标体系.md（M107，v0.24-draft）；BI-产品需求文档.md:1590；ContentDiscoveryBoard.tsx</x:v>
      </x:c>
      <x:c r="O90" s="14" t="str">
        <x:v>/api/admin/serverCfg/categories/get；/api/admin/statistics/todayVideos/getVideoStatsByCategories；/api/admin/statistics/navs
相关字段待核：id；name；children；clickedCountRank[].categoryName；clickedCountRank[].clickedCount；navMark；cateName；pos；navClickTotalCount；navClickIpsCount</x:v>
      </x:c>
      <x:c r="P90" s="14" t="str">
        <x:v>—</x:v>
      </x:c>
    </x:row>
    <x:row r="91" ht="94" customHeight="1">
      <x:c r="A91" s="14" t="str">
        <x:v>M108</x:v>
      </x:c>
      <x:c r="B91" s="14" t="str">
        <x:v>视频首页分类Tab人均点击次数</x:v>
      </x:c>
      <x:c r="C91" s="14" t="str">
        <x:v>标准指标</x:v>
      </x:c>
      <x:c r="D91" s="14" t="str">
        <x:v>点击过视频首页分类分类标签的用户，平均产生的有效分类切换点击次数</x:v>
      </x:c>
      <x:c r="E91" s="14" t="str">
        <x:v>M106 视频首页分类Tab点击次数 ÷ M107 视频首页分类Tab点击用户数</x:v>
      </x:c>
      <x:c r="F91" s="14" t="str">
        <x:v>次/人</x:v>
      </x:c>
      <x:c r="G91" s="14" t="str">
        <x:v>分子按点击事实去重，分母按整个统计窗口对用户去重；不使用每日人均值再平均</x:v>
      </x:c>
      <x:c r="H91" s="14" t="str">
        <x:v>业务日或查询区间、平台、PID、分类层级、一级分类、二级分类、Tab位置</x:v>
      </x:c>
      <x:c r="I91" s="14" t="str">
        <x:v>点击用户数为0、缺少稳定分类标识、身份缺失、测试流量</x:v>
      </x:c>
      <x:c r="J91" s="14" t="str">
        <x:v>单位为次/人；依赖 M106、M107 完成事件补充、上线和验数后才能正式产出</x:v>
      </x:c>
      <x:c r="K91" s="14" t="str">
        <x:v>尚未接入</x:v>
      </x:c>
      <x:c r="L91" s="14" t="str">
        <x:v>点击过视频首页分类 Tab 的用户，平均产生的有效分类切换点击次数</x:v>
      </x:c>
      <x:c r="M91" s="14" t="str">
        <x:v>内容发现与互动</x:v>
      </x:c>
      <x:c r="N91" s="14" t="str">
        <x:v>全站指标体系.md（M108，v0.24-draft）；BI-产品需求文档.md:1590；ContentDiscoveryBoard.tsx</x:v>
      </x:c>
      <x:c r="O91" s="14" t="str">
        <x:v>/api/admin/serverCfg/categories/get；/api/admin/statistics/todayVideos/getVideoStatsByCategories；/api/admin/statistics/navs
相关字段待核：id；name；children；clickedCountRank[].categoryName；clickedCountRank[].clickedCount；navMark；cateName；pos；navClickTotalCount；navClickIpsCount</x:v>
      </x:c>
      <x:c r="P91" s="14" t="str">
        <x:v>—</x:v>
      </x:c>
    </x:row>
    <x:row r="92" ht="126" customHeight="1">
      <x:c r="A92" s="14" t="str">
        <x:v>M109</x:v>
      </x:c>
      <x:c r="B92" s="14" t="str">
        <x:v>视频内容点击次数</x:v>
      </x:c>
      <x:c r="C92" s="14" t="str">
        <x:v>标准指标</x:v>
      </x:c>
      <x:c r="D92" s="14" t="str">
        <x:v>开发资料将“分类下视频内容点击次数”定义为用户点击视频封面、进入视频播放页的次数；分类汇总接口按分类返回该点击量。</x:v>
      </x:c>
      <x:c r="E92" s="14" t="str">
        <x:v>用户主动点击视频内容的有效点击次数</x:v>
      </x:c>
      <x:c r="F92" s="14" t="str">
        <x:v>次</x:v>
      </x:c>
      <x:c r="G92" s="14" t="str">
        <x:v>同一次真实内容点击只计一次；重复发送不重复计算；同一用户多次真实点击分别计数</x:v>
      </x:c>
      <x:c r="H92" s="14" t="str">
        <x:v>业务日或查询区间、平台、PID、来源页面、来源列表、分类层级、一级分类、二级分类、Tab、视频位置、视频</x:v>
      </x:c>
      <x:c r="I92" s="14" t="str">
        <x:v>分类 Tab 点击、自动进入或滑动切换、自动播放、预加载、广告卡点击、不可操作遮罩、重复发送、测试流量</x:v>
      </x:c>
      <x:c r="J92" s="14" t="str">
        <x:v>当前 YPBI 适配只读取分类名称与点击次数，未传一级分类条件，也未保留稳定分类 ID；暂不能证明同名二级分类可正确归属，一级与二级结果也不能混合求和</x:v>
      </x:c>
      <x:c r="K92" s="14" t="str">
        <x:v>按所选分类读取视频点击次数（clickedCount）；全站总量能否直接汇总各级分类结果待验数</x:v>
      </x:c>
      <x:c r="L92" s="14" t="str">
        <x:v>用户主动点击视频卡片、封面或相关推荐项，选择进入视频详情或播放的次数；分类 Tab 点击不计入本指标</x:v>
      </x:c>
      <x:c r="M92" s="14" t="str">
        <x:v>内容发现与互动</x:v>
      </x:c>
      <x:c r="N92" s="14" t="str">
        <x:v>全站指标体系.md（M109，v0.24-draft）；BI-产品需求文档.md:1590；content-discovery-analysis-model.ts:130</x:v>
      </x:c>
      <x:c r="O92" s="14" t="str">
        <x:v>/api/admin/statistics/trackEventsReport/getEventStats；/api/admin/statistics/todayVideos/getVideoStatsByCategories；/api/admin/serverCfg/categories/get；/api/admin/serverCfg/categories/getManyFirst
相关字段待核：videoClick；pid；reportDate；clickedCountRank[].categoryName；clickedCountRank[].clickedCount；isUvApproximate；levelOneId（登记请求参数）；pid（请求参数）；id；name；children[].id；children[].name；children[].type；type（请求参数）</x:v>
      </x:c>
      <x:c r="P92" s="14" t="str">
        <x:v>—</x:v>
      </x:c>
    </x:row>
    <x:row r="93" ht="62" customHeight="1">
      <x:c r="A93" s="14" t="str">
        <x:v>M110</x:v>
      </x:c>
      <x:c r="B93" s="14" t="str">
        <x:v>活跃用户人均广告点击次数</x:v>
      </x:c>
      <x:c r="C93" s="14" t="str">
        <x:v>标准指标</x:v>
      </x:c>
      <x:c r="D93" s="14" t="str">
        <x:v>逸品日报中的“广告总人次比例”表示广告总点击人次相对于日活总计的比例；“广告新增人次比例”使用新增用户范围计算。</x:v>
      </x:c>
      <x:c r="E93" s="14" t="str">
        <x:v>M055 广告点击次数 ÷ M016 日活跃用户数</x:v>
      </x:c>
      <x:c r="F93" s="14" t="str">
        <x:v>次/人</x:v>
      </x:c>
      <x:c r="G93" s="14" t="str">
        <x:v>广告点击按真实点击次数累计并去除重复日志；日活跃用户按账号每天去重</x:v>
      </x:c>
      <x:c r="H93" s="14" t="str">
        <x:v>同一业务日、平台、PID、渠道、广告位；可按新用户 / 老用户查看</x:v>
      </x:c>
      <x:c r="I93" s="14" t="str">
        <x:v>自动跳转、跳过动作、重复日志、测试流量</x:v>
      </x:c>
      <x:c r="J93" s="14" t="str">
        <x:v>现有字段名“人次比例”不能直接说明分母，也容易被误解为百分比上限为100%；该值实际可以超过100%</x:v>
      </x:c>
      <x:c r="K93" s="14" t="str">
        <x:v>总体：adsCount / loginUserCount</x:v>
      </x:c>
      <x:c r="L93" s="14" t="str">
        <x:v>每名日活跃用户平均产生的真实广告点击次数；新增用户视图中，分子和分母同时限定为注册当日新用户</x:v>
      </x:c>
      <x:c r="M93" s="14" t="str">
        <x:v>核心经营总览</x:v>
      </x:c>
      <x:c r="N93" s="14" t="str">
        <x:v>全站指标体系.md（M110，v0.24-draft）；BI-产品需求文档.md:708；AdvertisingOverview.tsx；operating-detail-columns.ts</x:v>
      </x:c>
      <x:c r="O93" s="14" t="str">
        <x:v>/api/admin/statistics/pDaySum
总体：adsCount；loginUserCount</x:v>
      </x:c>
      <x:c r="P93" s="14" t="str">
        <x:v>—</x:v>
      </x:c>
    </x:row>
    <x:row r="94" ht="62" customHeight="1">
      <x:c r="A94" s="14" t="str">
        <x:v>M111</x:v>
      </x:c>
      <x:c r="B94" s="14" t="str">
        <x:v>活跃用户广告点击渗透率</x:v>
      </x:c>
      <x:c r="C94" s="14" t="str">
        <x:v>标准指标</x:v>
      </x:c>
      <x:c r="D94" s="14" t="str">
        <x:v>逸品日报中的“广告总点击人数比例”表示广告点击人数占日活总计的比例；“广告新增点击人数比例”使用新增用户范围计算。</x:v>
      </x:c>
      <x:c r="E94" s="14" t="str">
        <x:v>M094 广告点击用户数 ÷ M016 日活跃用户数</x:v>
      </x:c>
      <x:c r="F94" s="14" t="str">
        <x:v>%</x:v>
      </x:c>
      <x:c r="G94" s="14" t="str">
        <x:v>分子和分母都按账号在同一业务日去重，同一用户无论点击多少次只计一次</x:v>
      </x:c>
      <x:c r="H94" s="14" t="str">
        <x:v>同一业务日、平台、PID、渠道、广告位；可按新用户 / 老用户查看</x:v>
      </x:c>
      <x:c r="I94" s="14" t="str">
        <x:v>自动跳转、跳过动作、身份缺失、重复日志、测试流量</x:v>
      </x:c>
      <x:c r="J94" s="14" t="str">
        <x:v>日报不同广告页面可能使用不同用户标识，需要先验证分子用户都属于同范围登录日活</x:v>
      </x:c>
      <x:c r="K94" s="14" t="str">
        <x:v>总体：adsClickedPerson / loginUserCount</x:v>
      </x:c>
      <x:c r="L94" s="14" t="str">
        <x:v>日活跃用户中，当天至少真实点击过一次广告的去重用户比例；新增用户视图中，分子和分母同时限定为注册当日新用户</x:v>
      </x:c>
      <x:c r="M94" s="14" t="str">
        <x:v>核心经营总览</x:v>
      </x:c>
      <x:c r="N94" s="14" t="str">
        <x:v>全站指标体系.md（M111，v0.24-draft）；BI-产品需求文档.md:708；AdvertisingOverview.tsx；operating-detail-columns.ts</x:v>
      </x:c>
      <x:c r="O94" s="14" t="str">
        <x:v>/api/admin/statistics/pDaySum
总体：adsClickedPerson；loginUserCount</x:v>
      </x:c>
      <x:c r="P94" s="14" t="str">
        <x:v>—</x:v>
      </x:c>
    </x:row>
    <x:row r="95" ht="78" customHeight="1">
      <x:c r="A95" s="14" t="str">
        <x:v>M112</x:v>
      </x:c>
      <x:c r="B95" s="14" t="str">
        <x:v>支付订单获取次数</x:v>
      </x:c>
      <x:c r="C95" s="14" t="str">
        <x:v>标准指标</x:v>
      </x:c>
      <x:c r="D95" s="14" t="str">
        <x:v>逸品日报“总拉单次数”统计支付过程中成功获取订单的次数，并分别提供支付宝、微信结果。</x:v>
      </x:c>
      <x:c r="E95" s="14" t="str">
        <x:v>成功获取支付订单的不同支付请求数</x:v>
      </x:c>
      <x:c r="F95" s="14" t="str">
        <x:v>次</x:v>
      </x:c>
      <x:c r="G95" s="14" t="str">
        <x:v>同一次支付请求最多计一次；超时重试或重复返回同一结果不重复计算</x:v>
      </x:c>
      <x:c r="H95" s="14" t="str">
        <x:v>订单获取业务日、平台、PID、渠道、支付方式、商品；可按新用户 / 老用户查看</x:v>
      </x:c>
      <x:c r="I95" s="14" t="str">
        <x:v>下单失败、超时且未成功、重复结果、测试订单</x:v>
      </x:c>
      <x:c r="J95" s="14" t="str">
        <x:v>现有日报只提供汇总值，尚未验证一次拉单是否按请求、订单或回调记录去重</x:v>
      </x:c>
      <x:c r="K95" s="14" t="str">
        <x:v>总体：totalAllCount；支付宝：aliTotalCount；微信：wxTotalCount</x:v>
      </x:c>
      <x:c r="L95" s="14" t="str">
        <x:v>用户发起支付后，服务端成功返回可继续支付的订单，计为一次支付订单获取；支付通道统计的同日拉单及成功计数；日比率不等同于同批订单的有序漏斗。时间归属和成功阶段待验数；仅返回所选业务平台，排除全平台字段。</x:v>
      </x:c>
      <x:c r="M95" s="14" t="str">
        <x:v>核心经营总览；支付链路与到账质量</x:v>
      </x:c>
      <x:c r="N95" s="14" t="str">
        <x:v>全站指标体系.md（M112，v0.24-draft）；BI-产品需求文档.md:708；operating-detail-columns.ts；BI-产品需求文档.md:1484；payment-order-reading.ts</x:v>
      </x:c>
      <x:c r="O95" s="14" t="str">
        <x:v>/api/admin/consumptionMgr/payChannel/getRechargeSucRate
总体：totalAllCount
支付宝：aliTotalCount
微信：wxTotalCount</x:v>
      </x:c>
      <x:c r="P95" s="14" t="str">
        <x:v>—</x:v>
      </x:c>
    </x:row>
    <x:row r="96" ht="62" customHeight="1">
      <x:c r="A96" s="14" t="str">
        <x:v>M113</x:v>
      </x:c>
      <x:c r="B96" s="14" t="str">
        <x:v>支付订单获取用户数</x:v>
      </x:c>
      <x:c r="C96" s="14" t="str">
        <x:v>标准指标</x:v>
      </x:c>
      <x:c r="D96" s="14" t="str">
        <x:v>逸品日报“总拉单人数”统计支付过程中至少成功获取一次订单的用户数，并分别提供支付宝、微信结果。</x:v>
      </x:c>
      <x:c r="E96" s="14" t="str">
        <x:v>至少成功获取一次支付订单的去重用户数</x:v>
      </x:c>
      <x:c r="F96" s="14" t="str">
        <x:v>人</x:v>
      </x:c>
      <x:c r="G96" s="14" t="str">
        <x:v>同一用户在同一统计窗口内只计一次；同一用户获取多笔订单仍计一人</x:v>
      </x:c>
      <x:c r="H96" s="14" t="str">
        <x:v>订单获取业务日或查询区间、平台、PID、渠道、支付方式、商品；可按新用户 / 老用户查看</x:v>
      </x:c>
      <x:c r="I96" s="14" t="str">
        <x:v>未登录或身份无法确认、下单失败、测试账号、重复结果</x:v>
      </x:c>
      <x:c r="J96" s="14" t="str">
        <x:v>日报未说明多日查询是区间去重还是每日人数相加，暂不能直接将日报日值跨日求和</x:v>
      </x:c>
      <x:c r="K96" s="14" t="str">
        <x:v>成功获取支付订单的用户数</x:v>
      </x:c>
      <x:c r="L96" s="14" t="str">
        <x:v>统计窗口内至少成功获取过一次可继续支付订单的去重用户数</x:v>
      </x:c>
      <x:c r="M96" s="14" t="str">
        <x:v>核心经营总览；支付链路与到账质量</x:v>
      </x:c>
      <x:c r="N96" s="14" t="str">
        <x:v>全站指标体系.md（M113，v0.24-draft）；BI-产品需求文档.md:708；operating-detail-columns.ts；BI-产品需求文档.md:1484；payment-order-reading.ts</x:v>
      </x:c>
      <x:c r="O96" s="14" t="str">
        <x:v>未找到可直接使用的接口
—</x:v>
      </x:c>
      <x:c r="P96" s="14" t="str">
        <x:v>—</x:v>
      </x:c>
    </x:row>
    <x:row r="97" ht="110" customHeight="1">
      <x:c r="A97" s="14" t="str">
        <x:v>M114</x:v>
      </x:c>
      <x:c r="B97" s="14" t="str">
        <x:v>订单获取-支付成功转化率</x:v>
      </x:c>
      <x:c r="C97" s="14" t="str">
        <x:v>标准指标</x:v>
      </x:c>
      <x:c r="D97" s="14" t="str">
        <x:v>成功获取的支付订单中，在规定观察窗口内最终支付成功的订单比例；支付宝、微信作为支付方式拆分，不复制指标</x:v>
      </x:c>
      <x:c r="E97" s="14" t="str">
        <x:v>同一批成功获取的支付订单中，最终支付成功的订单数 ÷ M112 支付订单获取次数</x:v>
      </x:c>
      <x:c r="F97" s="14" t="str">
        <x:v>%</x:v>
      </x:c>
      <x:c r="G97" s="14" t="str">
        <x:v>同一支付订单在分子和分母中各最多计一次，并按同一订单关系匹配</x:v>
      </x:c>
      <x:c r="H97" s="14" t="str">
        <x:v>订单获取批次及其支付观察窗口、平台、PID、渠道、支付方式、商品；可按新用户 / 老用户查看</x:v>
      </x:c>
      <x:c r="I97" s="14" t="str">
        <x:v>获取失败、重复订单、重复回调、仍在支付观察窗口、测试订单</x:v>
      </x:c>
      <x:c r="J97" s="14" t="str">
        <x:v>日报当前把同日两个汇总数直接相除，未证明分子与分母是同一批订单；支付跨日时可能失真</x:v>
      </x:c>
      <x:c r="K97" s="14" t="str">
        <x:v>总充值成功次数 ÷ 总拉单次数</x:v>
      </x:c>
      <x:c r="L97" s="14" t="str">
        <x:v>成功获取的支付订单中，在规定观察窗口内最终支付成功的订单比例；支付宝、微信作为支付方式拆分，不复制指标</x:v>
      </x:c>
      <x:c r="M97" s="14" t="str">
        <x:v>支付链路与到账质量</x:v>
      </x:c>
      <x:c r="N97" s="14" t="str">
        <x:v>全站指标体系.md（M114，v0.24-draft）；BI-产品需求文档.md:1484；PaymentOrderAnalysis.tsx</x:v>
      </x:c>
      <x:c r="O97" s="14" t="str">
        <x:v>/api/admin/consumptionMgr/payChannel/getRechargeSucRate
仅同日计数：totalSurCount；totalAllCount（缺同一批订单关联）
/api/admin/consumptionMgr/payChannel/getRechargeSucRate
仅同日计数：wxTotalSucCount；wxTotalCount（缺同一批订单关联）
/api/admin/consumptionMgr/payChannel/getRechargeSucRate
仅同日计数：aliTotalSucCount；aliTotalCount（缺同一批订单关联）</x:v>
      </x:c>
      <x:c r="P97" s="14" t="str">
        <x:v>—</x:v>
      </x:c>
    </x:row>
    <x:row r="98" ht="190" customHeight="1">
      <x:c r="A98" s="14" t="str">
        <x:v>M115</x:v>
      </x:c>
      <x:c r="B98" s="14" t="str">
        <x:v>注册留存用户数</x:v>
      </x:c>
      <x:c r="C98" s="14" t="str">
        <x:v>标准指标</x:v>
      </x:c>
      <x:c r="D98" s="14" t="str">
        <x:v>逸品日报分别提供次留登录人数、3留登录人数和7留登录人数，表示对应注册批次在目标日登录的人数；当前日报未展示D30留存人数。</x:v>
      </x:c>
      <x:c r="E98" s="14" t="str">
        <x:v>D0注册用户中，在所选D+N业务日再次登录的去重用户数
首日注册用户数（人，计算输入）：D0注册用户去重数，版本按D0冻结
次日登录注册用户数（人，计算输入）：D0注册用户中D1登录的去重人数，版本按D0冻结</x:v>
      </x:c>
      <x:c r="F98" s="14" t="str">
        <x:v>人</x:v>
      </x:c>
      <x:c r="G98" s="14" t="str">
        <x:v>同一注册批次、同一留存周期内，同一用户只计一次</x:v>
      </x:c>
      <x:c r="H98" s="14" t="str">
        <x:v>D0至D+N；按注册批次和 D1 / D3 / D7 / D30 留存周期统计，可按 D0 Android / iOS 平台及自然新增 / 内部导量获客类型查看，目标日允许跨平台</x:v>
      </x:c>
      <x:c r="I98" s="14" t="str">
        <x:v>未成熟注册批次、测试账号、重复登录</x:v>
      </x:c>
      <x:c r="J98" s="14" t="str">
        <x:v>当前日报把未成熟日期显示为0，无法区分“尚未到观察日”和“成熟后无人留存”；D30人数的现有支持状态还需核对
M020分母，按客户端版本实体独立读；不是新增业务日切片之外的新指标。
同快照实名输入或展示比率，不新建正式ID；保留缺端/缺日/0/未成熟状态。
同批D1，允许目标日跨端的规则按权威口径；未成熟不生成值。</x:v>
      </x:c>
      <x:c r="K98" s="14" t="str">
        <x:v>次日：afterFirstData1.loginCnt；第3日：afterFirstData3.loginCnt；第7日：afterFirstData7.loginCnt；第30日：afterFirstData30.loginCnt</x:v>
      </x:c>
      <x:c r="L98" s="14" t="str">
        <x:v>某一注册批次中，在指定第N个业务日再次登录的去重用户数；D1、D3、D7和D30作为留存周期查看，不为每个周期复制基础指标；按注册日期查询对应第N日登录人数；观察日结束且基数有效后计算。查询时间不是源数据水位。</x:v>
      </x:c>
      <x:c r="M98" s="14" t="str">
        <x:v>核心经营总览；活跃与留存</x:v>
      </x:c>
      <x:c r="N98" s="14" t="str">
        <x:v>全站指标体系.md（M115，v0.24-draft）；BI-产品需求文档.md:708；operating-detail-columns.ts；BI-产品需求文档.md:1184；topic-preview-fixtures.ts:30
首日注册用户数（version_registered_base）：BI-产品需求文档.md:1741；version-performance-fixtures.ts:501
次日登录注册用户数（version_registered_return）：BI-产品需求文档.md:1741；version-performance-fixtures.ts:501</x:v>
      </x:c>
      <x:c r="O98" s="14" t="str">
        <x:v>/api/admin/statistics/reletionsStatPlus/getDays
次日：afterFirstData1.loginCnt
第3日：afterFirstData3.loginCnt
第7日：afterFirstData7.loginCnt
第30日：afterFirstData30.loginCnt
首日注册用户数：
未找到可直接使用的接口
—
次日登录注册用户数：
未找到可直接使用的接口
—</x:v>
      </x:c>
      <x:c r="P98" s="14" t="str">
        <x:v>首日注册用户数：未支持【版本 / 版本未知；版本 × (Android / iOS)】单批用户（起始日）、各起始日趋势、多批次留存／复访率
次日登录注册用户数：未支持【版本 / 版本未知；版本 × (Android / iOS)】单批用户（起始日）、各起始日趋势、多批次留存／复访率</x:v>
      </x:c>
    </x:row>
    <x:row r="99" ht="174" customHeight="1">
      <x:c r="A99" s="14" t="str">
        <x:v>DM001</x:v>
      </x:c>
      <x:c r="B99" s="14" t="str">
        <x:v>累计活跃人天</x:v>
      </x:c>
      <x:c r="C99" s="14" t="str">
        <x:v>周期派生指标</x:v>
      </x:c>
      <x:c r="D99" s="14" t="str">
        <x:v>所选周期内，每个成熟业务日的日活跃用户数之和</x:v>
      </x:c>
      <x:c r="E99" s="14" t="str">
        <x:v>所选周期每日活跃用户数求和</x:v>
      </x:c>
      <x:c r="F99" s="14" t="str">
        <x:v>人·天</x:v>
      </x:c>
      <x:c r="G99" s="14" t="str">
        <x:v>每个业务日内按 M016 规则去重；同一用户跨业务日出现时分别计数</x:v>
      </x:c>
      <x:c r="H99" s="14" t="str">
        <x:v>所选周期内数据已经成熟的业务日</x:v>
      </x:c>
      <x:c r="I99" s="14" t="str">
        <x:v>沿用所引用指标；未登记部分待确认</x:v>
      </x:c>
      <x:c r="J99" s="14" t="str">
        <x:v>权威已登记的累计人天输入，非区间去重UV；用于已合法准入M081周期结果。</x:v>
      </x:c>
      <x:c r="K99" s="14" t="str">
        <x:v>以当前实现及引用口径为准</x:v>
      </x:c>
      <x:c r="L99" s="14" t="str">
        <x:v>复用所引用指标；未登记项先确认口径</x:v>
      </x:c>
      <x:c r="M99" s="14" t="str">
        <x:v>核心经营总览；视频消费表现</x:v>
      </x:c>
      <x:c r="N99" s="14" t="str">
        <x:v>全站指标体系.md（DM001，v0.24-draft）；topic-preview-fixtures.ts:124</x:v>
      </x:c>
      <x:c r="O99" s="14" t="str">
        <x:v>/api/admin/statistics/pDaySum
可复用：loginUserCount
/api/admin/statistics/pDaySum
可复用：androidLoginUserCount
/api/admin/statistics/pDaySum
可复用：iosLoginUserCount
未找到可直接使用的接口
—
/api/admin/statistics/pDaySum
可复用：oldUserLoginUserCount</x:v>
      </x:c>
      <x:c r="P99" s="14" t="str">
        <x:v>—</x:v>
      </x:c>
    </x:row>
    <x:row r="100" ht="206" customHeight="1">
      <x:c r="A100" s="14" t="str">
        <x:v>DM002</x:v>
      </x:c>
      <x:c r="B100" s="14" t="str">
        <x:v>累计观影人天</x:v>
      </x:c>
      <x:c r="C100" s="14" t="str">
        <x:v>周期派生指标</x:v>
      </x:c>
      <x:c r="D100" s="14" t="str">
        <x:v>所选周期内，每个成熟业务日的观影用户数之和</x:v>
      </x:c>
      <x:c r="E100" s="14" t="str">
        <x:v>所选周期每日观影用户数求和</x:v>
      </x:c>
      <x:c r="F100" s="14" t="str">
        <x:v>人·天</x:v>
      </x:c>
      <x:c r="G100" s="14" t="str">
        <x:v>每个业务日内按 M026 规则去重；同一用户跨业务日观影时分别计数</x:v>
      </x:c>
      <x:c r="H100" s="14" t="str">
        <x:v>所选周期内数据已经成熟的业务日</x:v>
      </x:c>
      <x:c r="I100" s="14" t="str">
        <x:v>沿用所引用指标；未登记部分待确认</x:v>
      </x:c>
      <x:c r="J100" s="14" t="str">
        <x:v>权威已登记的累计人天输入，非区间去重UV；用于已合法准入M081周期结果。</x:v>
      </x:c>
      <x:c r="K100" s="14" t="str">
        <x:v>以当前实现及引用口径为准</x:v>
      </x:c>
      <x:c r="L100" s="14" t="str">
        <x:v>复用所引用指标；未登记项先确认口径</x:v>
      </x:c>
      <x:c r="M100" s="14" t="str">
        <x:v>核心经营总览；视频消费表现</x:v>
      </x:c>
      <x:c r="N100" s="14" t="str">
        <x:v>全站指标体系.md（DM002，v0.24-draft）；topic-preview-fixtures.ts:124</x:v>
      </x:c>
      <x:c r="O100" s="14" t="str">
        <x:v>/api/admin/statistics/pDaySum
可复用：watchUserCount
/api/admin/statistics/pDaySum
可复用：androidWatchUserCount
/api/admin/statistics/pDaySum
可复用：iosWatchUserCount
/api/admin/statistics/pDaySum
可复用：newUserWatchUserCount
/api/admin/statistics/channel/channelStatByTypeV2
可复用：oldUserWatchUserCount
未找到可直接使用的接口
—</x:v>
      </x:c>
      <x:c r="P100" s="14" t="str">
        <x:v>—</x:v>
      </x:c>
    </x:row>
    <x:row r="101" ht="62" customHeight="1">
      <x:c r="A101" s="14" t="str">
        <x:v>all_active_d1_return_rate</x:v>
      </x:c>
      <x:c r="B101" s="14" t="str">
        <x:v>整体活跃次日回访率</x:v>
      </x:c>
      <x:c r="C101" s="14" t="str">
        <x:v>待定义业务读数</x:v>
      </x:c>
      <x:c r="D101" s="14" t="str">
        <x:v>固定D0同一批用户；不能以注册留存与存量复访率相加替代。</x:v>
      </x:c>
      <x:c r="E101" s="14" t="str">
        <x:v>D0全部活跃用户中D1再次活跃人数 ÷ D0全部活跃人数（建议，待登记）</x:v>
      </x:c>
      <x:c r="F101" s="14" t="str">
        <x:v>%</x:v>
      </x:c>
      <x:c r="G101" s="14" t="str">
        <x:v>固定D0同一批用户；不能以注册留存与存量复访率相加替代。</x:v>
      </x:c>
      <x:c r="H101" s="14" t="str">
        <x:v>cohort_day；cohort_series；mature_cohort_weighted_result</x:v>
      </x:c>
      <x:c r="I101" s="14" t="str">
        <x:v>沿用所引用指标；未登记部分待确认</x:v>
      </x:c>
      <x:c r="J101" s="14" t="str">
        <x:v>D0全部登录活跃同批用户在D1同口径回访；无正式ID/同批服务，不由M020和M024拼接。；尚无正式ID/同批返回；须批准D0全部活跃版本冻结及跨端去重；M020+M024不能替代。</x:v>
      </x:c>
      <x:c r="K101" s="14" t="str">
        <x:v>以当前实现及引用口径为准</x:v>
      </x:c>
      <x:c r="L101" s="14" t="str">
        <x:v>复用所引用指标；未登记项先确认口径</x:v>
      </x:c>
      <x:c r="M101" s="14" t="str">
        <x:v>活跃与留存；产品体验与启动质量</x:v>
      </x:c>
      <x:c r="N101" s="14" t="str">
        <x:v>BI-产品需求文档.md:1184；TopicPreviews.tsx；BI-产品需求文档.md:1741；version-performance-fixtures.ts:504</x:v>
      </x:c>
      <x:c r="O101" s="14" t="str">
        <x:v>未找到可直接使用的接口
—</x:v>
      </x:c>
      <x:c r="P101" s="14" t="str">
        <x:v>—</x:v>
      </x:c>
    </x:row>
    <x:row r="102" ht="46" customHeight="1">
      <x:c r="A102" s="14" t="str">
        <x:v>display:M008</x:v>
      </x:c>
      <x:c r="B102" s="14" t="str">
        <x:v>新增Android:iOS比值</x:v>
      </x:c>
      <x:c r="C102" s="14" t="str">
        <x:v>配套业务读数</x:v>
      </x:c>
      <x:c r="D102" s="14" t="str">
        <x:v>同日两端注册新增之比，客户端归属待验数。</x:v>
      </x:c>
      <x:c r="E102" s="14" t="str">
        <x:v>Android新增 ÷ iOS新增</x:v>
      </x:c>
      <x:c r="F102" s="14" t="str">
        <x:v>Android:iOS</x:v>
      </x:c>
      <x:c r="G102" s="14" t="str">
        <x:v>同日两端注册新增之比，客户端归属待验数。</x:v>
      </x:c>
      <x:c r="H102" s="14" t="str">
        <x:v>single_day；daily_series；day_reference_D-1_D-7</x:v>
      </x:c>
      <x:c r="I102" s="14" t="str">
        <x:v>沿用所引用指标；未登记部分待确认</x:v>
      </x:c>
      <x:c r="J102" s="14" t="str">
        <x:v>仅展示比值，不新建正式指标。</x:v>
      </x:c>
      <x:c r="K102" s="14" t="str">
        <x:v>Android与iOS比值：androidNewUserCount / iosNewUserCount</x:v>
      </x:c>
      <x:c r="L102" s="14" t="str">
        <x:v>复用所引用指标；未登记项先确认口径；采用后台日汇总对应切片的直接结果，不相加或推算总体；身份去重方式待验数。</x:v>
      </x:c>
      <x:c r="M102" s="14" t="str">
        <x:v>核心经营总览</x:v>
      </x:c>
      <x:c r="N102" s="14" t="str">
        <x:v>BI-产品需求文档.md:708；operating-detail-columns.ts</x:v>
      </x:c>
      <x:c r="O102" s="14" t="str">
        <x:v>/api/admin/statistics/pDaySum
Android与iOS比值：androidNewUserCount；iosNewUserCount</x:v>
      </x:c>
      <x:c r="P102" s="14" t="str">
        <x:v>—</x:v>
      </x:c>
    </x:row>
    <x:row r="103" ht="46" customHeight="1">
      <x:c r="A103" s="14" t="str">
        <x:v>display:M016</x:v>
      </x:c>
      <x:c r="B103" s="14" t="str">
        <x:v>日活Android:iOS比值</x:v>
      </x:c>
      <x:c r="C103" s="14" t="str">
        <x:v>配套业务读数</x:v>
      </x:c>
      <x:c r="D103" s="14" t="str">
        <x:v>同日两端独立DAU的比值，不代表用户互斥或构成。</x:v>
      </x:c>
      <x:c r="E103" s="14" t="str">
        <x:v>Android日活 ÷ iOS日活</x:v>
      </x:c>
      <x:c r="F103" s="14" t="str">
        <x:v>Android:iOS</x:v>
      </x:c>
      <x:c r="G103" s="14" t="str">
        <x:v>同日两端独立DAU的比值，不代表用户互斥或构成。</x:v>
      </x:c>
      <x:c r="H103" s="14" t="str">
        <x:v>single_day；daily_series；day_reference_D-1_D-7</x:v>
      </x:c>
      <x:c r="I103" s="14" t="str">
        <x:v>沿用所引用指标；未登记部分待确认</x:v>
      </x:c>
      <x:c r="J103" s="14" t="str">
        <x:v>仅展示比值，不新建正式指标。</x:v>
      </x:c>
      <x:c r="K103" s="14" t="str">
        <x:v>Android与iOS比值：androidLoginUserCount / iosLoginUserCount</x:v>
      </x:c>
      <x:c r="L103" s="14" t="str">
        <x:v>复用所引用指标；未登记项先确认口径；采用后台日汇总对应切片的直接结果，不相加或推算总体；身份去重方式待验数。</x:v>
      </x:c>
      <x:c r="M103" s="14" t="str">
        <x:v>核心经营总览</x:v>
      </x:c>
      <x:c r="N103" s="14" t="str">
        <x:v>BI-产品需求文档.md:708；operating-detail-columns.ts</x:v>
      </x:c>
      <x:c r="O103" s="14" t="str">
        <x:v>/api/admin/statistics/pDaySum
Android与iOS比值：androidLoginUserCount；iosLoginUserCount</x:v>
      </x:c>
      <x:c r="P103" s="14" t="str">
        <x:v>—</x:v>
      </x:c>
    </x:row>
    <x:row r="104" ht="46" customHeight="1">
      <x:c r="A104" s="14" t="str">
        <x:v>effective_any_return_rate</x:v>
      </x:c>
      <x:c r="B104" s="14" t="str">
        <x:v>有效观影批次整体回访率</x:v>
      </x:c>
      <x:c r="C104" s="14" t="str">
        <x:v>待定义业务读数</x:v>
      </x:c>
      <x:c r="D104" s="14" t="str">
        <x:v>回访与再次有效观看不同；须同批基数、回访身份与窗口。</x:v>
      </x:c>
      <x:c r="E104" s="14" t="str">
        <x:v>D+N回访的D0首次有效观看用户数 ÷ D0基数（待登记）</x:v>
      </x:c>
      <x:c r="F104" s="14" t="str">
        <x:v>%</x:v>
      </x:c>
      <x:c r="G104" s="14" t="str">
        <x:v>回访与再次有效观看不同；须同批基数、回访身份与窗口。</x:v>
      </x:c>
      <x:c r="H104" s="14" t="str">
        <x:v>cohort_day；cohort_series；mature_cohort_weighted_result</x:v>
      </x:c>
      <x:c r="I104" s="14" t="str">
        <x:v>沿用所引用指标；未登记部分待确认</x:v>
      </x:c>
      <x:c r="J104" s="14" t="str">
        <x:v>同一D0首次有效观看用户批次三类互斥且覆盖完整基数；服务直接返回，禁止比率相减或拼接M016。</x:v>
      </x:c>
      <x:c r="K104" s="14" t="str">
        <x:v>以当前实现及引用口径为准</x:v>
      </x:c>
      <x:c r="L104" s="14" t="str">
        <x:v>复用所引用指标；未登记项先确认口径</x:v>
      </x:c>
      <x:c r="M104" s="14" t="str">
        <x:v>视频消费表现</x:v>
      </x:c>
      <x:c r="N104" s="14" t="str">
        <x:v>BI-产品需求文档.md:1288；watching-retention-diagnosis-model.ts</x:v>
      </x:c>
      <x:c r="O104" s="14" t="str">
        <x:v>未找到可直接使用的接口
—</x:v>
      </x:c>
      <x:c r="P104" s="14" t="str">
        <x:v>—</x:v>
      </x:c>
    </x:row>
    <x:row r="105" ht="46" customHeight="1">
      <x:c r="A105" s="14" t="str">
        <x:v>effective_not_returned_users</x:v>
      </x:c>
      <x:c r="B105" s="14" t="str">
        <x:v>未回访用户数</x:v>
      </x:c>
      <x:c r="C105" s="14" t="str">
        <x:v>待定义业务读数</x:v>
      </x:c>
      <x:c r="D105" s="14" t="str">
        <x:v>缺数据不等于未回访；成熟、完整批次才能判定。</x:v>
      </x:c>
      <x:c r="E105" s="14" t="str">
        <x:v>D0用户在D+N未回访的去重人数（待登记）</x:v>
      </x:c>
      <x:c r="F105" s="14" t="str">
        <x:v>人</x:v>
      </x:c>
      <x:c r="G105" s="14" t="str">
        <x:v>缺数据不等于未回访；成熟、完整批次才能判定。</x:v>
      </x:c>
      <x:c r="H105" s="14" t="str">
        <x:v>cohort_day；cohort_series；mature_cohort_weighted_result</x:v>
      </x:c>
      <x:c r="I105" s="14" t="str">
        <x:v>沿用所引用指标；未登记部分待确认</x:v>
      </x:c>
      <x:c r="J105" s="14" t="str">
        <x:v>同一D0首次有效观看用户批次三类互斥且覆盖完整基数；服务直接返回，禁止比率相减或拼接M016。</x:v>
      </x:c>
      <x:c r="K105" s="14" t="str">
        <x:v>以当前实现及引用口径为准</x:v>
      </x:c>
      <x:c r="L105" s="14" t="str">
        <x:v>复用所引用指标；未登记项先确认口径</x:v>
      </x:c>
      <x:c r="M105" s="14" t="str">
        <x:v>视频消费表现</x:v>
      </x:c>
      <x:c r="N105" s="14" t="str">
        <x:v>BI-产品需求文档.md:1288；watching-retention-diagnosis-model.ts</x:v>
      </x:c>
      <x:c r="O105" s="14" t="str">
        <x:v>未找到可直接使用的接口
—</x:v>
      </x:c>
      <x:c r="P105" s="14" t="str">
        <x:v>—</x:v>
      </x:c>
    </x:row>
    <x:row r="106" ht="46" customHeight="1">
      <x:c r="A106" s="14" t="str">
        <x:v>effective_returned_without_watch_users</x:v>
      </x:c>
      <x:c r="B106" s="14" t="str">
        <x:v>回访未有效观看用户数</x:v>
      </x:c>
      <x:c r="C106" s="14" t="str">
        <x:v>待定义业务读数</x:v>
      </x:c>
      <x:c r="D106" s="14" t="str">
        <x:v>须同一批、同一回访窗口与有效观看定义，和其他去向互斥。</x:v>
      </x:c>
      <x:c r="E106" s="14" t="str">
        <x:v>D0用户在D+N回访且无有效观看的去重人数（待登记）</x:v>
      </x:c>
      <x:c r="F106" s="14" t="str">
        <x:v>人</x:v>
      </x:c>
      <x:c r="G106" s="14" t="str">
        <x:v>须同一批、同一回访窗口与有效观看定义，和其他去向互斥。</x:v>
      </x:c>
      <x:c r="H106" s="14" t="str">
        <x:v>cohort_day；cohort_series；mature_cohort_weighted_result</x:v>
      </x:c>
      <x:c r="I106" s="14" t="str">
        <x:v>沿用所引用指标；未登记部分待确认</x:v>
      </x:c>
      <x:c r="J106" s="14" t="str">
        <x:v>同一D0首次有效观看用户批次三类互斥且覆盖完整基数；服务直接返回，禁止比率相减或拼接M016。</x:v>
      </x:c>
      <x:c r="K106" s="14" t="str">
        <x:v>以当前实现及引用口径为准</x:v>
      </x:c>
      <x:c r="L106" s="14" t="str">
        <x:v>复用所引用指标；未登记项先确认口径</x:v>
      </x:c>
      <x:c r="M106" s="14" t="str">
        <x:v>视频消费表现</x:v>
      </x:c>
      <x:c r="N106" s="14" t="str">
        <x:v>BI-产品需求文档.md:1288；watching-retention-diagnosis-model.ts</x:v>
      </x:c>
      <x:c r="O106" s="14" t="str">
        <x:v>未找到可直接使用的接口
—</x:v>
      </x:c>
      <x:c r="P106" s="14" t="str">
        <x:v>—</x:v>
      </x:c>
    </x:row>
    <x:row r="107" ht="46" customHeight="1">
      <x:c r="A107" s="14" t="str">
        <x:v>effective_watch_duration</x:v>
      </x:c>
      <x:c r="B107" s="14" t="str">
        <x:v>有效观影总时长</x:v>
      </x:c>
      <x:c r="C107" s="14" t="str">
        <x:v>配套业务读数</x:v>
      </x:c>
      <x:c r="D107" s="14" t="str">
        <x:v>只累计满足已登记有效观看规则的时长；同一记录幂等去重。</x:v>
      </x:c>
      <x:c r="E107" s="14" t="str">
        <x:v>Σ有效观看记录的 watch_duration_ms</x:v>
      </x:c>
      <x:c r="F107" s="14" t="str">
        <x:v>毫秒（展示单位另换算）</x:v>
      </x:c>
      <x:c r="G107" s="14" t="str">
        <x:v>只累计满足已登记有效观看规则的时长；同一记录幂等去重。</x:v>
      </x:c>
      <x:c r="H107" s="14" t="str">
        <x:v>single_day；daily_series；period_sum</x:v>
      </x:c>
      <x:c r="I107" s="14" t="str">
        <x:v>沿用所引用指标；未登记部分待确认</x:v>
      </x:c>
      <x:c r="J107" s="14" t="str">
        <x:v>M043实名分子，不等于M102全部观影时长。</x:v>
      </x:c>
      <x:c r="K107" s="14" t="str">
        <x:v>以当前实现及引用口径为准</x:v>
      </x:c>
      <x:c r="L107" s="14" t="str">
        <x:v>复用所引用指标；未登记项先确认口径</x:v>
      </x:c>
      <x:c r="M107" s="14" t="str">
        <x:v>视频消费表现</x:v>
      </x:c>
      <x:c r="N107" s="14" t="str">
        <x:v>BI-产品需求文档.md:1288；topic-preview-fixtures.ts:127</x:v>
      </x:c>
      <x:c r="O107" s="14" t="str">
        <x:v>未找到可直接使用的接口
—</x:v>
      </x:c>
      <x:c r="P107" s="14" t="str">
        <x:v>—</x:v>
      </x:c>
    </x:row>
    <x:row r="108" ht="174" customHeight="1">
      <x:c r="A108" s="14" t="str">
        <x:v>function_penetration</x:v>
      </x:c>
      <x:c r="B108" s="14" t="str">
        <x:v>功能使用渗透率</x:v>
      </x:c>
      <x:c r="C108" s="14" t="str">
        <x:v>配套业务读数</x:v>
      </x:c>
      <x:c r="D108" s="14" t="str">
        <x:v>按功能已登记使用行为去重；页面功能和非页面功能各自遵守事实来源。</x:v>
      </x:c>
      <x:c r="E108" s="14" t="str">
        <x:v>功能使用用户数 ÷ 同范围活跃用户数
同范围活跃用户基数（人，计算输入）：COUNT(DISTINCT active user_id)，与功能分子同范围
功能使用用户数（人，计算输入）：COUNT(DISTINCT user_id)，存在该功能合法使用行为</x:v>
      </x:c>
      <x:c r="F108" s="14" t="str">
        <x:v>%</x:v>
      </x:c>
      <x:c r="G108" s="14" t="str">
        <x:v>按功能已登记使用行为去重；页面功能和非页面功能各自遵守事实来源。</x:v>
      </x:c>
      <x:c r="H108" s="14" t="str">
        <x:v>single_day；daily_series_7_or_30_days；period_recomputed_ratio</x:v>
      </x:c>
      <x:c r="I108" s="14" t="str">
        <x:v>沿用所引用指标；未登记部分待确认</x:v>
      </x:c>
      <x:c r="J108" s="14" t="str">
        <x:v>页面功能基于page_view；非页面以已定义使用行为；同范围去重分子/分母独立查询。目录是业务配置，不逐功能新建正式ID；未准入不以演示值填充。；复用已登记模块通用模板，不逐页面创建标准M指标；template:module-penetration为当前渲染引用键。
引用M016对应范围；区间需真去重，不能累加DAU。
页面功能基于page_view；非页面以已定义使用行为；同范围去重分子/分母独立查询。目录是业务配置，不逐功能新建正式ID；未准入不以演示值填充。
日或区间按同一身份去重；不同功能之间用户不可相加。</x:v>
      </x:c>
      <x:c r="K108" s="14" t="str">
        <x:v>以当前实现及引用口径为准</x:v>
      </x:c>
      <x:c r="L108" s="14" t="str">
        <x:v>复用所引用指标；未登记项先确认口径</x:v>
      </x:c>
      <x:c r="M108" s="14" t="str">
        <x:v>功能使用概览</x:v>
      </x:c>
      <x:c r="N108" s="14" t="str">
        <x:v>BI-产品需求文档.md:940；function-preview-model.ts
同范围活跃用户基数（function_active_base）：BI-产品需求文档.md:940；function-preview-model.ts
功能使用用户数（function_users）：BI-产品需求文档.md:940；function-preview-model.ts</x:v>
      </x:c>
      <x:c r="O108" s="14" t="str">
        <x:v>未找到可直接使用的接口
—
同范围活跃用户基数：
/api/admin/statistics/pDaySum
M016候选：loginUserCount（须核对相同身份、日期及用户范围）
功能使用用户数：
未找到可直接使用的接口
—</x:v>
      </x:c>
      <x:c r="P108" s="14" t="str">
        <x:v>同范围活跃用户基数：未支持【功能；(内部导量 / 自然新增) × 功能；功能 × (Android / iOS / 客户端未知 / Web)；功能 × (新用户 / 老用户)；功能 × (Android / iOS / 客户端未知 / Web) × (新用户 / 老用户)】单日、逐日趋势、区间去重人数、日均
功能使用用户数：未支持【功能；(内部导量 / 自然新增) × 功能；功能 × (Android / iOS / 客户端未知 / Web)；功能 × (新用户 / 老用户)；功能 × (Android / iOS / 客户端未知 / Web) × (新用户 / 老用户)】单日、逐日趋势、区间去重人数、日均</x:v>
      </x:c>
    </x:row>
    <x:row r="109" ht="78" customHeight="1">
      <x:c r="A109" s="14" t="str">
        <x:v>M114_daily_view</x:v>
      </x:c>
      <x:c r="B109" s="14" t="str">
        <x:v>充值成功率（现有日报视图）</x:v>
      </x:c>
      <x:c r="C109" s="14" t="str">
        <x:v>配套业务读数</x:v>
      </x:c>
      <x:c r="D109" s="14" t="str">
        <x:v>旧日报视图；非相同获单批次最终成功率，引用M114而不新增指标。</x:v>
      </x:c>
      <x:c r="E109" s="14" t="str">
        <x:v>当日成功支付订单数 ÷ 当日获取订单次数</x:v>
      </x:c>
      <x:c r="F109" s="14" t="str">
        <x:v>%</x:v>
      </x:c>
      <x:c r="G109" s="14" t="str">
        <x:v>旧日报视图；非相同获单批次最终成功率，引用M114而不新增指标。</x:v>
      </x:c>
      <x:c r="H109" s="14" t="str">
        <x:v>single_day；daily_series；day_reference_D-1_D-7；period_recomputed_ratio</x:v>
      </x:c>
      <x:c r="I109" s="14" t="str">
        <x:v>沿用所引用指标；未登记部分待确认</x:v>
      </x:c>
      <x:c r="J109" s="14" t="str">
        <x:v>此列当前接现有日报视图（同日成功次数/拉单次数），不等于正式同批订单转化。；引用M114的现有日报视图，不复制正式M114定义：同日成功订单次数/拉单次数，跨日可&gt;100%，多日汇总两次数后重算，非失败率。</x:v>
      </x:c>
      <x:c r="K109" s="14" t="str">
        <x:v>总体：totalSurCount / totalAllCount；支付宝：aliTotalSucCount / aliTotalCount；微信：wxTotalSucCount / wxTotalCount</x:v>
      </x:c>
      <x:c r="L109" s="14" t="str">
        <x:v>复用所引用指标；未登记项先确认口径；支付通道统计的同日拉单及成功计数；日比率不等同于同批订单的有序漏斗。时间归属和成功阶段待验数；仅返回所选业务平台，排除全平台字段。</x:v>
      </x:c>
      <x:c r="M109" s="14" t="str">
        <x:v>核心经营总览；支付链路与到账质量</x:v>
      </x:c>
      <x:c r="N109" s="14" t="str">
        <x:v>BI-产品需求文档.md:708；operating-detail-columns.ts；BI-产品需求文档.md:1484；payment-order-reading.ts</x:v>
      </x:c>
      <x:c r="O109" s="14" t="str">
        <x:v>/api/admin/consumptionMgr/payChannel/getRechargeSucRate
总体：totalSurCount；totalAllCount
支付宝：aliTotalSucCount；aliTotalCount
微信：wxTotalSucCount；wxTotalCount</x:v>
      </x:c>
      <x:c r="P109" s="14" t="str">
        <x:v>—</x:v>
      </x:c>
    </x:row>
    <x:row r="110" ht="78" customHeight="1">
      <x:c r="A110" s="14" t="str">
        <x:v>navigation_clicks</x:v>
      </x:c>
      <x:c r="B110" s="14" t="str">
        <x:v>底部导航点击次数</x:v>
      </x:c>
      <x:c r="C110" s="14" t="str">
        <x:v>配套业务读数</x:v>
      </x:c>
      <x:c r="D110" s="14" t="str">
        <x:v>同一事件幂等排重；稳定TabID，不能按显示名称跨期拼接。</x:v>
      </x:c>
      <x:c r="E110" s="14" t="str">
        <x:v>COUNT(DISTINCT click event_id)，有效全局底部Tab点击</x:v>
      </x:c>
      <x:c r="F110" s="14" t="str">
        <x:v>次</x:v>
      </x:c>
      <x:c r="G110" s="14" t="str">
        <x:v>同一事件幂等排重；稳定TabID，不能按显示名称跨期拼接。</x:v>
      </x:c>
      <x:c r="H110" s="14" t="str">
        <x:v>按业务平台、日期及Tab读取总体；保留单日、逐日、合法周期及两期比较。</x:v>
      </x:c>
      <x:c r="I110" s="14" t="str">
        <x:v>沿用所引用指标；未登记部分待确认</x:v>
      </x:c>
      <x:c r="J110" s="14" t="str">
        <x:v>M052配套输入/派生：频次=点击次数÷点击UV；不新建正式指标，不平均每日人均值，跨TabUV不能相加。
仅底部Tab点击事实；导航广告不能替代Tab点击，广告IP数不能作为点击账号UV。</x:v>
      </x:c>
      <x:c r="K110" s="14" t="str">
        <x:v>以当前实现及引用口径为准</x:v>
      </x:c>
      <x:c r="L110" s="14" t="str">
        <x:v>补Tab稳定ID、名称、位置、点击次数、去重点击人数及同范围活跃分母；区间人数独立去重。BI计算渗透率、人均及两期变化，不做客户端／新老拆分。</x:v>
      </x:c>
      <x:c r="M110" s="14" t="str">
        <x:v>功能使用概览</x:v>
      </x:c>
      <x:c r="N110" s="14" t="str">
        <x:v>BI-产品需求文档.md:940；global-navigation-usage-model.ts:9</x:v>
      </x:c>
      <x:c r="O110" s="14" t="str">
        <x:v>未找到可直接使用的接口
—</x:v>
      </x:c>
      <x:c r="P110" s="14" t="str">
        <x:v>—</x:v>
      </x:c>
    </x:row>
    <x:row r="111" ht="78" customHeight="1">
      <x:c r="A111" s="14" t="str">
        <x:v>navigation_frequency</x:v>
      </x:c>
      <x:c r="B111" s="14" t="str">
        <x:v>底部导航使用者人均点击次数</x:v>
      </x:c>
      <x:c r="C111" s="14" t="str">
        <x:v>配套业务读数</x:v>
      </x:c>
      <x:c r="D111" s="14" t="str">
        <x:v>同范围计算；区间分母真去重，不平均各日人均次数。</x:v>
      </x:c>
      <x:c r="E111" s="14" t="str">
        <x:v>底部导航点击次数 ÷ 底部导航点击用户数</x:v>
      </x:c>
      <x:c r="F111" s="14" t="str">
        <x:v>次/人</x:v>
      </x:c>
      <x:c r="G111" s="14" t="str">
        <x:v>同范围计算；区间分母真去重，不平均各日人均次数。</x:v>
      </x:c>
      <x:c r="H111" s="14" t="str">
        <x:v>按业务平台、日期及Tab读取总体；保留单日、逐日、合法周期及两期比较。</x:v>
      </x:c>
      <x:c r="I111" s="14" t="str">
        <x:v>沿用所引用指标；未登记部分待确认</x:v>
      </x:c>
      <x:c r="J111" s="14" t="str">
        <x:v>M052配套输入/派生：频次=点击次数÷点击UV；不新建正式指标，不平均每日人均值，跨TabUV不能相加。
仅底部Tab点击事实；导航广告不能替代Tab点击，广告IP数不能作为点击账号UV。</x:v>
      </x:c>
      <x:c r="K111" s="14" t="str">
        <x:v>以当前实现及引用口径为准</x:v>
      </x:c>
      <x:c r="L111" s="14" t="str">
        <x:v>补Tab稳定ID、名称、位置、点击次数、去重点击人数及同范围活跃分母；区间人数独立去重。BI计算渗透率、人均及两期变化，不做客户端／新老拆分。</x:v>
      </x:c>
      <x:c r="M111" s="14" t="str">
        <x:v>功能使用概览</x:v>
      </x:c>
      <x:c r="N111" s="14" t="str">
        <x:v>BI-产品需求文档.md:940；global-navigation-usage-model.ts:9</x:v>
      </x:c>
      <x:c r="O111" s="14" t="str">
        <x:v>未找到可直接使用的接口
—</x:v>
      </x:c>
      <x:c r="P111" s="14" t="str">
        <x:v>—</x:v>
      </x:c>
    </x:row>
    <x:row r="112" ht="78" customHeight="1">
      <x:c r="A112" s="14" t="str">
        <x:v>navigation_users</x:v>
      </x:c>
      <x:c r="B112" s="14" t="str">
        <x:v>底部导航点击用户数</x:v>
      </x:c>
      <x:c r="C112" s="14" t="str">
        <x:v>配套业务读数</x:v>
      </x:c>
      <x:c r="D112" s="14" t="str">
        <x:v>业务日/区间同范围去重；导航广告不属于底部导航。</x:v>
      </x:c>
      <x:c r="E112" s="14" t="str">
        <x:v>COUNT(DISTINCT user_id)，点击指定全局底部Tab</x:v>
      </x:c>
      <x:c r="F112" s="14" t="str">
        <x:v>人</x:v>
      </x:c>
      <x:c r="G112" s="14" t="str">
        <x:v>业务日/区间同范围去重；导航广告不属于底部导航。</x:v>
      </x:c>
      <x:c r="H112" s="14" t="str">
        <x:v>按业务平台、日期及Tab读取总体；保留单日、逐日、合法周期及两期比较。</x:v>
      </x:c>
      <x:c r="I112" s="14" t="str">
        <x:v>沿用所引用指标；未登记部分待确认</x:v>
      </x:c>
      <x:c r="J112" s="14" t="str">
        <x:v>M052配套输入/派生：频次=点击次数÷点击UV；不新建正式指标，不平均每日人均值，跨TabUV不能相加。
仅底部Tab点击事实；导航广告不能替代Tab点击，广告IP数不能作为点击账号UV。</x:v>
      </x:c>
      <x:c r="K112" s="14" t="str">
        <x:v>以当前实现及引用口径为准</x:v>
      </x:c>
      <x:c r="L112" s="14" t="str">
        <x:v>补Tab稳定ID、名称、位置、点击次数、去重点击人数及同范围活跃分母；区间人数独立去重。BI计算渗透率、人均及两期变化，不做客户端／新老拆分。</x:v>
      </x:c>
      <x:c r="M112" s="14" t="str">
        <x:v>功能使用概览</x:v>
      </x:c>
      <x:c r="N112" s="14" t="str">
        <x:v>BI-产品需求文档.md:940；global-navigation-usage-model.ts:9</x:v>
      </x:c>
      <x:c r="O112" s="14" t="str">
        <x:v>未找到可直接使用的接口
—</x:v>
      </x:c>
      <x:c r="P112" s="14" t="str">
        <x:v>—</x:v>
      </x:c>
    </x:row>
    <x:row r="113" ht="46" customHeight="1">
      <x:c r="A113" s="14" t="str">
        <x:v>playback_failure_result</x:v>
      </x:c>
      <x:c r="B113" s="14" t="str">
        <x:v>播放失败结果（次数/原因待正式指标引用）</x:v>
      </x:c>
      <x:c r="C113" s="14" t="str">
        <x:v>待定义业务读数</x:v>
      </x:c>
      <x:c r="D113" s="14" t="str">
        <x:v>稳定尝试ID和终态；等待中不计失败。</x:v>
      </x:c>
      <x:c r="E113" s="14" t="str">
        <x:v>合法成熟播放尝试中失败结果数，按原因分组（待登记）</x:v>
      </x:c>
      <x:c r="F113" s="14" t="str">
        <x:v>次</x:v>
      </x:c>
      <x:c r="G113" s="14" t="str">
        <x:v>稳定尝试ID和终态；等待中不计失败。</x:v>
      </x:c>
      <x:c r="H113" s="14" t="str">
        <x:v>mature_attempt_result；daily_series</x:v>
      </x:c>
      <x:c r="I113" s="14" t="str">
        <x:v>沿用所引用指标；未登记部分待确认</x:v>
      </x:c>
      <x:c r="J113" s="14" t="str">
        <x:v>正式失败查询/属性验数后开放；等待、关联失败、缺失不算播放失败。</x:v>
      </x:c>
      <x:c r="K113" s="14" t="str">
        <x:v>以当前实现及引用口径为准</x:v>
      </x:c>
      <x:c r="L113" s="14" t="str">
        <x:v>复用所引用指标；未登记项先确认口径</x:v>
      </x:c>
      <x:c r="M113" s="14" t="str">
        <x:v>播放与观看质量</x:v>
      </x:c>
      <x:c r="N113" s="14" t="str">
        <x:v>BI-产品需求文档.md:1522；ExtendedBoardPreview.tsx</x:v>
      </x:c>
      <x:c r="O113" s="14" t="str">
        <x:v>未找到可直接使用的接口
—</x:v>
      </x:c>
      <x:c r="P113" s="14" t="str">
        <x:v>—</x:v>
      </x:c>
    </x:row>
    <x:row r="114" ht="46" customHeight="1">
      <x:c r="A114" s="14" t="str">
        <x:v>recharge_amount_share</x:v>
      </x:c>
      <x:c r="B114" s="14" t="str">
        <x:v>分类充值金额占总充值金额比例</x:v>
      </x:c>
      <x:c r="C114" s="14" t="str">
        <x:v>配套业务读数</x:v>
      </x:c>
      <x:c r="D114" s="14" t="str">
        <x:v>仅同币种、互斥且完整分类可显示构成；不跨币种相加。</x:v>
      </x:c>
      <x:c r="E114" s="14" t="str">
        <x:v>同范围分类充值金额 ÷ 独立总充值金额</x:v>
      </x:c>
      <x:c r="F114" s="14" t="str">
        <x:v>%</x:v>
      </x:c>
      <x:c r="G114" s="14" t="str">
        <x:v>仅同币种、互斥且完整分类可显示构成；不跨币种相加。</x:v>
      </x:c>
      <x:c r="H114" s="14" t="str">
        <x:v>single_day；daily_series；period_share</x:v>
      </x:c>
      <x:c r="I114" s="14" t="str">
        <x:v>沿用所引用指标；未登记部分待确认</x:v>
      </x:c>
      <x:c r="J114" s="14" t="str">
        <x:v>派生自M058/M065/M066同范围金额；需完整互斥同币种非负总体&gt;0，聚焦不重算分母。</x:v>
      </x:c>
      <x:c r="K114" s="14" t="str">
        <x:v>以当前实现及引用口径为准</x:v>
      </x:c>
      <x:c r="L114" s="14" t="str">
        <x:v>复用所引用指标；未登记项先确认口径</x:v>
      </x:c>
      <x:c r="M114" s="14" t="str">
        <x:v>会员与付费经营</x:v>
      </x:c>
      <x:c r="N114" s="14" t="str">
        <x:v>BI-产品需求文档.md:1384；PaymentBreakdowns.tsx:43</x:v>
      </x:c>
      <x:c r="O114" s="14" t="str">
        <x:v>未找到可直接使用的接口
—</x:v>
      </x:c>
      <x:c r="P114" s="14" t="str">
        <x:v>—</x:v>
      </x:c>
    </x:row>
    <x:row r="115" ht="46" customHeight="1">
      <x:c r="A115" s="14" t="str">
        <x:v>search_result_clicked_requests</x:v>
      </x:c>
      <x:c r="B115" s="14" t="str">
        <x:v>有结果后产生内容点击的搜索数</x:v>
      </x:c>
      <x:c r="C115" s="14" t="str">
        <x:v>配套业务读数</x:v>
      </x:c>
      <x:c r="D115" s="14" t="str">
        <x:v>一次搜索多次点击仅计一次，须关联搜索与内容点击。</x:v>
      </x:c>
      <x:c r="E115" s="14" t="str">
        <x:v>COUNT(DISTINCT search_id)，有结果后产生内容点击</x:v>
      </x:c>
      <x:c r="F115" s="14" t="str">
        <x:v>次</x:v>
      </x:c>
      <x:c r="G115" s="14" t="str">
        <x:v>一次搜索多次点击仅计一次，须关联搜索与内容点击。</x:v>
      </x:c>
      <x:c r="H115" s="14" t="str">
        <x:v>single_day；daily_series；period_sum</x:v>
      </x:c>
      <x:c r="I115" s="14" t="str">
        <x:v>沿用所引用指标；未登记部分待确认</x:v>
      </x:c>
      <x:c r="J115" s="14" t="str">
        <x:v>M046同快照关联输入；准确去重与终态以权威M046为准，不用M092搜索次数直接替代。</x:v>
      </x:c>
      <x:c r="K115" s="14" t="str">
        <x:v>以当前实现及引用口径为准</x:v>
      </x:c>
      <x:c r="L115" s="14" t="str">
        <x:v>复用所引用指标；未登记项先确认口径</x:v>
      </x:c>
      <x:c r="M115" s="14" t="str">
        <x:v>内容发现与互动</x:v>
      </x:c>
      <x:c r="N115" s="14" t="str">
        <x:v>BI-产品需求文档.md:1590；content-discovery-analysis-model.ts:69</x:v>
      </x:c>
      <x:c r="O115" s="14" t="str">
        <x:v>未找到可直接使用的接口
—</x:v>
      </x:c>
      <x:c r="P115" s="14" t="str">
        <x:v>—</x:v>
      </x:c>
    </x:row>
    <x:row r="116" ht="46" customHeight="1">
      <x:c r="A116" s="14" t="str">
        <x:v>search_result_valid_requests</x:v>
      </x:c>
      <x:c r="B116" s="14" t="str">
        <x:v>成功返回结果的搜索数</x:v>
      </x:c>
      <x:c r="C116" s="14" t="str">
        <x:v>配套业务读数</x:v>
      </x:c>
      <x:c r="D116" s="14" t="str">
        <x:v>按一次有效搜索排重，不按结果条数计。</x:v>
      </x:c>
      <x:c r="E116" s="14" t="str">
        <x:v>COUNT(DISTINCT search_id)，成功返回有结果</x:v>
      </x:c>
      <x:c r="F116" s="14" t="str">
        <x:v>次</x:v>
      </x:c>
      <x:c r="G116" s="14" t="str">
        <x:v>按一次有效搜索排重，不按结果条数计。</x:v>
      </x:c>
      <x:c r="H116" s="14" t="str">
        <x:v>single_day；daily_series；period_sum</x:v>
      </x:c>
      <x:c r="I116" s="14" t="str">
        <x:v>沿用所引用指标；未登记部分待确认</x:v>
      </x:c>
      <x:c r="J116" s="14" t="str">
        <x:v>M046同快照关联输入；准确去重与终态以权威M046为准，不用M092搜索次数直接替代。</x:v>
      </x:c>
      <x:c r="K116" s="14" t="str">
        <x:v>以当前实现及引用口径为准</x:v>
      </x:c>
      <x:c r="L116" s="14" t="str">
        <x:v>复用所引用指标；未登记项先确认口径</x:v>
      </x:c>
      <x:c r="M116" s="14" t="str">
        <x:v>内容发现与互动</x:v>
      </x:c>
      <x:c r="N116" s="14" t="str">
        <x:v>BI-产品需求文档.md:1590；content-discovery-analysis-model.ts:69</x:v>
      </x:c>
      <x:c r="O116" s="14" t="str">
        <x:v>未找到可直接使用的接口
—</x:v>
      </x:c>
      <x:c r="P116" s="14" t="str">
        <x:v>—</x:v>
      </x:c>
    </x:row>
    <x:row r="117" ht="46" customHeight="1">
      <x:c r="A117" s="14" t="str">
        <x:v>version_active_usage_rate</x:v>
      </x:c>
      <x:c r="B117" s="14" t="str">
        <x:v>版本使用率</x:v>
      </x:c>
      <x:c r="C117" s="14" t="str">
        <x:v>配套业务读数</x:v>
      </x:c>
      <x:c r="D117" s="14" t="str">
        <x:v>版本间人数可能重叠，使用率总和不保证100%。</x:v>
      </x:c>
      <x:c r="E117" s="14" t="str">
        <x:v>该版本活跃用户数 ÷ 同范围独立活跃用户数</x:v>
      </x:c>
      <x:c r="F117" s="14" t="str">
        <x:v>%</x:v>
      </x:c>
      <x:c r="G117" s="14" t="str">
        <x:v>版本间人数可能重叠，使用率总和不保证100%。</x:v>
      </x:c>
      <x:c r="H117" s="14" t="str">
        <x:v>selected_range_end_day</x:v>
      </x:c>
      <x:c r="I117" s="14" t="str">
        <x:v>沿用所引用指标；未登记部分待确认</x:v>
      </x:c>
      <x:c r="J117" s="14" t="str">
        <x:v>同快照实名输入或展示比率，不新建正式ID；保留缺端/缺日/0/未成熟状态。</x:v>
      </x:c>
      <x:c r="K117" s="14" t="str">
        <x:v>以当前实现及引用口径为准</x:v>
      </x:c>
      <x:c r="L117" s="14" t="str">
        <x:v>复用所引用指标；未登记项先确认口径</x:v>
      </x:c>
      <x:c r="M117" s="14" t="str">
        <x:v>产品体验与启动质量</x:v>
      </x:c>
      <x:c r="N117" s="14" t="str">
        <x:v>BI-产品需求文档.md:1741；version-performance-fixtures.ts:501</x:v>
      </x:c>
      <x:c r="O117" s="14" t="str">
        <x:v>未找到可直接使用的接口
—</x:v>
      </x:c>
      <x:c r="P117" s="14" t="str">
        <x:v>—</x:v>
      </x:c>
    </x:row>
    <x:row r="118" ht="46" customHeight="1">
      <x:c r="A118" s="14" t="str">
        <x:v>version_launch_share</x:v>
      </x:c>
      <x:c r="B118" s="14" t="str">
        <x:v>版本启动次数占比</x:v>
      </x:c>
      <x:c r="C118" s="14" t="str">
        <x:v>配套业务读数</x:v>
      </x:c>
      <x:c r="D118" s="14" t="str">
        <x:v>版本启动记录按稳定事件键去重，总体读取同范围结果。</x:v>
      </x:c>
      <x:c r="E118" s="14" t="str">
        <x:v>该版本启动次数 ÷ 所选版本范围启动总次数</x:v>
      </x:c>
      <x:c r="F118" s="14" t="str">
        <x:v>%</x:v>
      </x:c>
      <x:c r="G118" s="14" t="str">
        <x:v>版本启动记录按稳定事件键去重，总体读取同范围结果。</x:v>
      </x:c>
      <x:c r="H118" s="14" t="str">
        <x:v>single_day；period_share</x:v>
      </x:c>
      <x:c r="I118" s="14" t="str">
        <x:v>沿用所引用指标；未登记部分待确认</x:v>
      </x:c>
      <x:c r="J118" s="14" t="str">
        <x:v>同快照实名输入或展示比率，不新建正式ID；保留缺端/缺日/0/未成熟状态。</x:v>
      </x:c>
      <x:c r="K118" s="14" t="str">
        <x:v>以当前实现及引用口径为准</x:v>
      </x:c>
      <x:c r="L118" s="14" t="str">
        <x:v>复用所引用指标；未登记项先确认口径</x:v>
      </x:c>
      <x:c r="M118" s="14" t="str">
        <x:v>产品体验与启动质量</x:v>
      </x:c>
      <x:c r="N118" s="14" t="str">
        <x:v>BI-产品需求文档.md:1741；version-performance-fixtures.ts:501</x:v>
      </x:c>
      <x:c r="O118" s="14" t="str">
        <x:v>未找到可直接使用的接口
—</x:v>
      </x:c>
      <x:c r="P118" s="14" t="str">
        <x:v>—</x:v>
      </x:c>
    </x:row>
    <x:row r="119" ht="46" customHeight="1">
      <x:c r="A119" s="14" t="str">
        <x:v>video_eligible_exposures</x:v>
      </x:c>
      <x:c r="B119" s="14" t="str">
        <x:v>视频合格曝光数</x:v>
      </x:c>
      <x:c r="C119" s="14" t="str">
        <x:v>配套业务读数</x:v>
      </x:c>
      <x:c r="D119" s="14" t="str">
        <x:v>同一视频曝光满足合格规则；重复上报幂等去重，非所有曝光通知。</x:v>
      </x:c>
      <x:c r="E119" s="14" t="str">
        <x:v>COUNT(DISTINCT eligible exposure event_id)</x:v>
      </x:c>
      <x:c r="F119" s="14" t="str">
        <x:v>次</x:v>
      </x:c>
      <x:c r="G119" s="14" t="str">
        <x:v>同一视频曝光满足合格规则；重复上报幂等去重，非所有曝光通知。</x:v>
      </x:c>
      <x:c r="H119" s="14" t="str">
        <x:v>single_day；daily_series；period_sum</x:v>
      </x:c>
      <x:c r="I119" s="14" t="str">
        <x:v>沿用所引用指标；未登记部分待确认</x:v>
      </x:c>
      <x:c r="J119" s="14" t="str">
        <x:v>M044同快照输入，不等于M109；不得从比率倒推。</x:v>
      </x:c>
      <x:c r="K119" s="14" t="str">
        <x:v>以当前实现及引用口径为准</x:v>
      </x:c>
      <x:c r="L119" s="14" t="str">
        <x:v>复用所引用指标；未登记项先确认口径</x:v>
      </x:c>
      <x:c r="M119" s="14" t="str">
        <x:v>内容发现与互动</x:v>
      </x:c>
      <x:c r="N119" s="14" t="str">
        <x:v>BI-产品需求文档.md:1590；content-discovery-analysis-model.ts:42</x:v>
      </x:c>
      <x:c r="O119" s="14" t="str">
        <x:v>未找到可直接使用的接口
—</x:v>
      </x:c>
      <x:c r="P119" s="14" t="str">
        <x:v>—</x:v>
      </x:c>
    </x:row>
    <x:row r="120" ht="46" customHeight="1">
      <x:c r="A120" s="14" t="str">
        <x:v>video_matched_clicks</x:v>
      </x:c>
      <x:c r="B120" s="14" t="str">
        <x:v>匹配合格曝光的视频点击数</x:v>
      </x:c>
      <x:c r="C120" s="14" t="str">
        <x:v>配套业务读数</x:v>
      </x:c>
      <x:c r="D120" s="14" t="str">
        <x:v>仅匹配合格曝光的点击子集，不等于M109全量内容点击。</x:v>
      </x:c>
      <x:c r="E120" s="14" t="str">
        <x:v>COUNT(DISTINCT click event_id)，能关联同窗口合格曝光</x:v>
      </x:c>
      <x:c r="F120" s="14" t="str">
        <x:v>次</x:v>
      </x:c>
      <x:c r="G120" s="14" t="str">
        <x:v>仅匹配合格曝光的点击子集，不等于M109全量内容点击。</x:v>
      </x:c>
      <x:c r="H120" s="14" t="str">
        <x:v>single_day；daily_series；period_sum</x:v>
      </x:c>
      <x:c r="I120" s="14" t="str">
        <x:v>沿用所引用指标；未登记部分待确认</x:v>
      </x:c>
      <x:c r="J120" s="14" t="str">
        <x:v>M044同快照输入，不等于M109；不得从比率倒推。</x:v>
      </x:c>
      <x:c r="K120" s="14" t="str">
        <x:v>以当前实现及引用口径为准</x:v>
      </x:c>
      <x:c r="L120" s="14" t="str">
        <x:v>复用所引用指标；未登记项先确认口径</x:v>
      </x:c>
      <x:c r="M120" s="14" t="str">
        <x:v>内容发现与互动</x:v>
      </x:c>
      <x:c r="N120" s="14" t="str">
        <x:v>BI-产品需求文档.md:1590；content-discovery-analysis-model.ts:42</x:v>
      </x:c>
      <x:c r="O120" s="14" t="str">
        <x:v>未找到可直接使用的接口
—</x:v>
      </x:c>
      <x:c r="P120" s="14" t="str">
        <x:v>—</x:v>
      </x:c>
    </x:row>
  </x:sheetData>
  <x:mergeCells>
    <x:mergeCell ref="A2:H2"/>
    <x:mergeCell ref="A3:H3"/>
    <x:mergeCell ref="A5:H5"/>
    <x:mergeCell ref="A4:H4"/>
  </x:mergeCells>
  <x:pageMargins left="0.7" right="0.7" top="0.75" bottom="0.75" header="0.3" footer="0.3"/>
  <x:tableParts count="1">
    <x:tablePart xmlns:r="http://schemas.openxmlformats.org/officeDocument/2006/relationships" r:id="Rf54cd1eb9a074d3d"/>
  </x:tableParts>
</x:worksheet>
</file>