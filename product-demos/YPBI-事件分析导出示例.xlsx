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4b1c6b8a2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出说明" sheetId="1" r:id="R7ae9b3d7bf384d00"/>
    <x:sheet xmlns:r="http://schemas.openxmlformats.org/officeDocument/2006/relationships" name="01_关键结果" sheetId="2" r:id="Rbddc173848584ed0"/>
    <x:sheet xmlns:r="http://schemas.openxmlformats.org/officeDocument/2006/relationships" name="02_趋势明细" sheetId="3" r:id="R8ddbae94ffd841d1"/>
    <x:sheet xmlns:r="http://schemas.openxmlformats.org/officeDocument/2006/relationships" name="03_维度拆解" sheetId="4" r:id="R9baf9cdbe3754009"/>
    <x:sheet xmlns:r="http://schemas.openxmlformats.org/officeDocument/2006/relationships" name="04_异常与限制" sheetId="5" r:id="R0fe6ccc1954e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0%"/>
    <x:numFmt numFmtId="203" formatCode="0"/>
    <x:numFmt numFmtId="204" formatCode="+#,##0;-#,##0;0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334155"/>
      <x:name val="Carlito"/>
    </x:font>
    <x:font>
      <x:b/>
      <x:sz val="10"/>
      <x:color rgb="FF16324F"/>
      <x:name val="Carlito"/>
    </x:font>
    <x:font>
      <x:b/>
      <x:sz val="22"/>
      <x:color rgb="FF172033"/>
      <x:name val="Carlito"/>
    </x:font>
    <x:font>
      <x:sz val="9"/>
      <x:color rgb="FF64748B"/>
      <x:name val="Carlito"/>
    </x:font>
    <x:font>
      <x:b/>
      <x:sz val="11"/>
      <x:color rgb="FF16324F"/>
      <x:name val="Carlito"/>
    </x:font>
    <x:font>
      <x:b/>
      <x:sz val="10"/>
      <x:color rgb="FF334155"/>
      <x:name val="Carlito"/>
    </x:font>
    <x:font>
      <x:sz val="10"/>
      <x:color rgb="FFD97706"/>
      <x:name val="Carlito"/>
    </x:font>
    <x:font>
      <x:b/>
      <x:sz val="10"/>
      <x:color rgb="FF2563E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21">
    <x:border/>
    <x:border>
      <x:right style="thin">
        <x:color rgb="FFA9B9C8"/>
      </x:right>
      <x:bottom style="medium">
        <x:color rgb="FF16324F"/>
      </x:bottom>
    </x:border>
    <x:border>
      <x:left style="thin">
        <x:color rgb="FFA9B9C8"/>
      </x:left>
      <x:right style="thin">
        <x:color rgb="FFA9B9C8"/>
      </x:right>
      <x:bottom style="medium">
        <x:color rgb="FF16324F"/>
      </x:bottom>
    </x:border>
    <x:border>
      <x:left style="thin">
        <x:color rgb="FFA9B9C8"/>
      </x:left>
      <x:bottom style="medium">
        <x:color rgb="FF16324F"/>
      </x:bottom>
    </x:border>
    <x:border>
      <x:right style="thin">
        <x:color rgb="FFEEF2F7"/>
      </x:right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bottom style="thin">
        <x:color rgb="FFD9E2EC"/>
      </x:bottom>
    </x:border>
    <x:border>
      <x:left style="thin">
        <x:color rgb="FFEEF2F7"/>
      </x:left>
      <x:bottom style="thin">
        <x:color rgb="FFD9E2EC"/>
      </x:bottom>
    </x:border>
    <x:border>
      <x:right style="thin">
        <x:color rgb="FFEEF2F7"/>
      </x:right>
      <x:top style="thin">
        <x:color rgb="FFD9E2EC"/>
      </x:top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top style="thin">
        <x:color rgb="FFD9E2EC"/>
      </x:top>
      <x:bottom style="thin">
        <x:color rgb="FFD9E2EC"/>
      </x:bottom>
    </x:border>
    <x:border>
      <x:left style="thin">
        <x:color rgb="FFEEF2F7"/>
      </x:left>
      <x:top style="thin">
        <x:color rgb="FFD9E2EC"/>
      </x:top>
      <x:bottom style="thin">
        <x:color rgb="FFD9E2EC"/>
      </x:bottom>
    </x:border>
    <x:border>
      <x:right style="thin">
        <x:color rgb="FFEEF2F7"/>
      </x:right>
      <x:top style="medium">
        <x:color rgb="FF2563EB"/>
      </x:top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top style="medium">
        <x:color rgb="FF2563EB"/>
      </x:top>
      <x:bottom style="thin">
        <x:color rgb="FFD9E2EC"/>
      </x:bottom>
    </x:border>
    <x:border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bottom style="medium">
        <x:color rgb="FF2563EB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1" fontId="5" fillId="3" borderId="8" xfId="0" applyNumberFormat="1" applyFont="1" applyFill="1" applyBorder="1" applyAlignment="1">
      <x:alignment vertical="center"/>
    </x:xf>
    <x:xf numFmtId="202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201" fontId="5" fillId="3" borderId="11" xfId="0" applyNumberFormat="1" applyFont="1" applyFill="1" applyBorder="1" applyAlignment="1">
      <x:alignment vertical="center"/>
    </x:xf>
    <x:xf numFmtId="202" fontId="5" fillId="3" borderId="11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9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12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12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2" xfId="0" applyNumberFormat="1" applyFont="1" applyFill="1" applyBorder="1" applyAlignment="1">
      <x:alignment horizontal="left" vertical="center"/>
    </x:xf>
    <x:xf numFmtId="201" fontId="6" fillId="3" borderId="0" xfId="0" applyNumberFormat="1" applyFont="1" applyFill="1" applyBorder="1" applyAlignment="1">
      <x:alignment horizontal="left" vertical="center"/>
    </x:xf>
    <x:xf numFmtId="201" fontId="6" fillId="3" borderId="12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12" xfId="0" applyNumberFormat="1" applyFont="1" applyFill="1" applyBorder="1"/>
    <x:xf numFmtId="0" fontId="7" fillId="3" borderId="12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horizontal="left" wrapText="1"/>
    </x:xf>
    <x:xf numFmtId="0" fontId="7" fillId="3" borderId="12" xfId="0" applyNumberFormat="1" applyFont="1" applyFill="1" applyBorder="1" applyAlignment="1">
      <x:alignment horizontal="left" vertical="center" wrapText="1"/>
    </x:xf>
    <x:xf numFmtId="0" fontId="5" fillId="3" borderId="13" xfId="0" applyNumberFormat="1" applyFont="1" applyFill="1" applyBorder="1" applyAlignment="1">
      <x:alignment horizontal="left" vertical="center"/>
    </x:xf>
    <x:xf numFmtId="0" fontId="5" fillId="3" borderId="14" xfId="0" applyNumberFormat="1" applyFont="1" applyFill="1" applyBorder="1" applyAlignment="1">
      <x:alignment horizontal="left" vertical="center"/>
    </x:xf>
    <x:xf numFmtId="0" fontId="5" fillId="3" borderId="15" xfId="0" applyNumberFormat="1" applyFont="1" applyFill="1" applyBorder="1" applyAlignment="1">
      <x:alignment horizontal="left" vertical="center"/>
    </x:xf>
    <x:xf numFmtId="201" fontId="6" fillId="3" borderId="16" xfId="0" applyNumberFormat="1" applyFont="1" applyFill="1" applyBorder="1" applyAlignment="1">
      <x:alignment horizontal="left" vertical="center"/>
    </x:xf>
    <x:xf numFmtId="201" fontId="6" fillId="3" borderId="17" xfId="0" applyNumberFormat="1" applyFont="1" applyFill="1" applyBorder="1" applyAlignment="1">
      <x:alignment horizontal="left" vertical="center"/>
    </x:xf>
    <x:xf numFmtId="201" fontId="6" fillId="3" borderId="18" xfId="0" applyNumberFormat="1" applyFont="1" applyFill="1" applyBorder="1" applyAlignment="1">
      <x:alignment horizontal="left" vertical="center"/>
    </x:xf>
    <x:xf numFmtId="201" fontId="6" fillId="3" borderId="19" xfId="0" applyNumberFormat="1" applyFont="1" applyFill="1" applyBorder="1" applyAlignment="1">
      <x:alignment horizontal="left" vertical="center"/>
    </x:xf>
    <x:xf numFmtId="0" fontId="7" fillId="3" borderId="18" xfId="0" applyNumberFormat="1" applyFont="1" applyFill="1" applyBorder="1" applyAlignment="1">
      <x:alignment horizontal="left" vertical="center" wrapText="1"/>
    </x:xf>
    <x:xf numFmtId="0" fontId="7" fillId="3" borderId="19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12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4" borderId="12" xfId="0" applyNumberFormat="1" applyFont="1" applyFill="1" applyBorder="1" applyAlignment="1">
      <x:alignment horizontal="left" vertical="center"/>
    </x:xf>
    <x:xf numFmtId="203" fontId="6" fillId="4" borderId="0" xfId="0" applyNumberFormat="1" applyFont="1" applyFill="1" applyBorder="1" applyAlignment="1">
      <x:alignment horizontal="left" vertical="center"/>
    </x:xf>
    <x:xf numFmtId="203" fontId="6" fillId="4" borderId="12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/>
    <x:xf numFmtId="0" fontId="7" fillId="4" borderId="12" xfId="0" applyNumberFormat="1" applyFont="1" applyFill="1" applyBorder="1"/>
    <x:xf numFmtId="0" fontId="7" fillId="4" borderId="12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horizontal="left" wrapText="1"/>
    </x:xf>
    <x:xf numFmtId="0" fontId="7" fillId="4" borderId="12" xfId="0" applyNumberFormat="1" applyFont="1" applyFill="1" applyBorder="1" applyAlignment="1">
      <x:alignment horizontal="left" vertical="center" wrapText="1"/>
    </x:xf>
    <x:xf numFmtId="0" fontId="5" fillId="4" borderId="13" xfId="0" applyNumberFormat="1" applyFont="1" applyFill="1" applyBorder="1" applyAlignment="1">
      <x:alignment horizontal="left" vertical="center"/>
    </x:xf>
    <x:xf numFmtId="0" fontId="5" fillId="4" borderId="14" xfId="0" applyNumberFormat="1" applyFont="1" applyFill="1" applyBorder="1" applyAlignment="1">
      <x:alignment horizontal="left" vertical="center"/>
    </x:xf>
    <x:xf numFmtId="0" fontId="5" fillId="4" borderId="15" xfId="0" applyNumberFormat="1" applyFont="1" applyFill="1" applyBorder="1" applyAlignment="1">
      <x:alignment horizontal="left" vertical="center"/>
    </x:xf>
    <x:xf numFmtId="203" fontId="6" fillId="4" borderId="16" xfId="0" applyNumberFormat="1" applyFont="1" applyFill="1" applyBorder="1" applyAlignment="1">
      <x:alignment horizontal="left" vertical="center"/>
    </x:xf>
    <x:xf numFmtId="203" fontId="6" fillId="4" borderId="17" xfId="0" applyNumberFormat="1" applyFont="1" applyFill="1" applyBorder="1" applyAlignment="1">
      <x:alignment horizontal="left" vertical="center"/>
    </x:xf>
    <x:xf numFmtId="203" fontId="6" fillId="4" borderId="18" xfId="0" applyNumberFormat="1" applyFont="1" applyFill="1" applyBorder="1" applyAlignment="1">
      <x:alignment horizontal="left" vertical="center"/>
    </x:xf>
    <x:xf numFmtId="203" fontId="6" fillId="4" borderId="19" xfId="0" applyNumberFormat="1" applyFont="1" applyFill="1" applyBorder="1" applyAlignment="1">
      <x:alignment horizontal="left" vertical="center"/>
    </x:xf>
    <x:xf numFmtId="0" fontId="7" fillId="4" borderId="18" xfId="0" applyNumberFormat="1" applyFont="1" applyFill="1" applyBorder="1" applyAlignment="1">
      <x:alignment horizontal="left" vertical="center" wrapText="1"/>
    </x:xf>
    <x:xf numFmtId="0" fontId="7" fillId="4" borderId="19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/>
    <x:xf numFmtId="0" fontId="6" fillId="5" borderId="12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12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6" fillId="5" borderId="12" xfId="0" applyNumberFormat="1" applyFont="1" applyFill="1" applyBorder="1" applyAlignment="1">
      <x:alignment horizontal="left" vertical="center"/>
    </x:xf>
    <x:xf numFmtId="201" fontId="6" fillId="5" borderId="0" xfId="0" applyNumberFormat="1" applyFont="1" applyFill="1" applyBorder="1" applyAlignment="1">
      <x:alignment horizontal="left" vertical="center"/>
    </x:xf>
    <x:xf numFmtId="201" fontId="6" fillId="5" borderId="12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/>
    <x:xf numFmtId="0" fontId="7" fillId="5" borderId="12" xfId="0" applyNumberFormat="1" applyFont="1" applyFill="1" applyBorder="1"/>
    <x:xf numFmtId="0" fontId="7" fillId="5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horizontal="left" wrapText="1"/>
    </x:xf>
    <x:xf numFmtId="0" fontId="7" fillId="5" borderId="12" xfId="0" applyNumberFormat="1" applyFont="1" applyFill="1" applyBorder="1" applyAlignment="1">
      <x:alignment horizontal="left" vertical="center" wrapText="1"/>
    </x:xf>
    <x:xf numFmtId="0" fontId="5" fillId="5" borderId="13" xfId="0" applyNumberFormat="1" applyFont="1" applyFill="1" applyBorder="1" applyAlignment="1">
      <x:alignment horizontal="left" vertical="center"/>
    </x:xf>
    <x:xf numFmtId="0" fontId="5" fillId="5" borderId="14" xfId="0" applyNumberFormat="1" applyFont="1" applyFill="1" applyBorder="1" applyAlignment="1">
      <x:alignment horizontal="left" vertical="center"/>
    </x:xf>
    <x:xf numFmtId="0" fontId="5" fillId="5" borderId="15" xfId="0" applyNumberFormat="1" applyFont="1" applyFill="1" applyBorder="1" applyAlignment="1">
      <x:alignment horizontal="left" vertical="center"/>
    </x:xf>
    <x:xf numFmtId="201" fontId="6" fillId="5" borderId="16" xfId="0" applyNumberFormat="1" applyFont="1" applyFill="1" applyBorder="1" applyAlignment="1">
      <x:alignment horizontal="left" vertical="center"/>
    </x:xf>
    <x:xf numFmtId="201" fontId="6" fillId="5" borderId="17" xfId="0" applyNumberFormat="1" applyFont="1" applyFill="1" applyBorder="1" applyAlignment="1">
      <x:alignment horizontal="left" vertical="center"/>
    </x:xf>
    <x:xf numFmtId="201" fontId="6" fillId="5" borderId="18" xfId="0" applyNumberFormat="1" applyFont="1" applyFill="1" applyBorder="1" applyAlignment="1">
      <x:alignment horizontal="left" vertical="center"/>
    </x:xf>
    <x:xf numFmtId="201" fontId="6" fillId="5" borderId="19" xfId="0" applyNumberFormat="1" applyFont="1" applyFill="1" applyBorder="1" applyAlignment="1">
      <x:alignment horizontal="left" vertical="center"/>
    </x:xf>
    <x:xf numFmtId="0" fontId="7" fillId="5" borderId="18" xfId="0" applyNumberFormat="1" applyFont="1" applyFill="1" applyBorder="1" applyAlignment="1">
      <x:alignment horizontal="left" vertical="center" wrapText="1"/>
    </x:xf>
    <x:xf numFmtId="0" fontId="7" fillId="5" borderId="19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12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2" xfId="0" applyNumberFormat="1" applyFont="1" applyFill="1" applyBorder="1" applyAlignment="1">
      <x:alignment horizontal="left" vertical="center"/>
    </x:xf>
    <x:xf numFmtId="202" fontId="6" fillId="6" borderId="0" xfId="0" applyNumberFormat="1" applyFont="1" applyFill="1" applyBorder="1" applyAlignment="1">
      <x:alignment horizontal="left" vertical="center"/>
    </x:xf>
    <x:xf numFmtId="202" fontId="6" fillId="6" borderId="12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/>
    <x:xf numFmtId="0" fontId="7" fillId="6" borderId="12" xfId="0" applyNumberFormat="1" applyFont="1" applyFill="1" applyBorder="1"/>
    <x:xf numFmtId="0" fontId="7" fillId="6" borderId="12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horizontal="left" wrapText="1"/>
    </x:xf>
    <x:xf numFmtId="0" fontId="7" fillId="6" borderId="12" xfId="0" applyNumberFormat="1" applyFont="1" applyFill="1" applyBorder="1" applyAlignment="1">
      <x:alignment horizontal="left" vertical="center" wrapText="1"/>
    </x:xf>
    <x:xf numFmtId="0" fontId="5" fillId="6" borderId="13" xfId="0" applyNumberFormat="1" applyFont="1" applyFill="1" applyBorder="1" applyAlignment="1">
      <x:alignment horizontal="left" vertical="center"/>
    </x:xf>
    <x:xf numFmtId="0" fontId="5" fillId="6" borderId="14" xfId="0" applyNumberFormat="1" applyFont="1" applyFill="1" applyBorder="1" applyAlignment="1">
      <x:alignment horizontal="left" vertical="center"/>
    </x:xf>
    <x:xf numFmtId="0" fontId="5" fillId="6" borderId="15" xfId="0" applyNumberFormat="1" applyFont="1" applyFill="1" applyBorder="1" applyAlignment="1">
      <x:alignment horizontal="left" vertical="center"/>
    </x:xf>
    <x:xf numFmtId="202" fontId="6" fillId="6" borderId="16" xfId="0" applyNumberFormat="1" applyFont="1" applyFill="1" applyBorder="1" applyAlignment="1">
      <x:alignment horizontal="left" vertical="center"/>
    </x:xf>
    <x:xf numFmtId="202" fontId="6" fillId="6" borderId="17" xfId="0" applyNumberFormat="1" applyFont="1" applyFill="1" applyBorder="1" applyAlignment="1">
      <x:alignment horizontal="left" vertical="center"/>
    </x:xf>
    <x:xf numFmtId="202" fontId="6" fillId="6" borderId="18" xfId="0" applyNumberFormat="1" applyFont="1" applyFill="1" applyBorder="1" applyAlignment="1">
      <x:alignment horizontal="left" vertical="center"/>
    </x:xf>
    <x:xf numFmtId="202" fontId="6" fillId="6" borderId="19" xfId="0" applyNumberFormat="1" applyFont="1" applyFill="1" applyBorder="1" applyAlignment="1">
      <x:alignment horizontal="left" vertical="center"/>
    </x:xf>
    <x:xf numFmtId="0" fontId="7" fillId="6" borderId="18" xfId="0" applyNumberFormat="1" applyFont="1" applyFill="1" applyBorder="1" applyAlignment="1">
      <x:alignment horizontal="left" vertical="center" wrapText="1"/>
    </x:xf>
    <x:xf numFmtId="0" fontId="7" fillId="6" borderId="19" xfId="0" applyNumberFormat="1" applyFont="1" applyFill="1" applyBorder="1" applyAlignment="1">
      <x:alignment horizontal="left" vertical="center" wrapText="1"/>
    </x:xf>
    <x:xf numFmtId="203" fontId="4" fillId="0" borderId="6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20" xfId="0" applyNumberFormat="1" applyFont="1" applyFill="1" applyBorder="1"/>
    <x:xf numFmtId="0" fontId="8" fillId="3" borderId="20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9" fillId="4" borderId="4" xfId="0" applyNumberFormat="1" applyFont="1" applyFill="1" applyBorder="1" applyAlignment="1">
      <x:alignment vertical="center"/>
    </x:xf>
    <x:xf numFmtId="0" fontId="9" fillId="4" borderId="7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059669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f1d110d284faf" /><Relationship Type="http://schemas.openxmlformats.org/officeDocument/2006/relationships/theme" Target="/xl/theme/theme1.xml" Id="R4afcc9b770dc4e82" /><Relationship Type="http://schemas.openxmlformats.org/officeDocument/2006/relationships/sharedStrings" Target="/xl/sharedStrings.xml" Id="R9ff4b63ed7924b9f" /><Relationship Type="http://schemas.openxmlformats.org/officeDocument/2006/relationships/worksheet" Target="/xl/worksheets/sheet1.xml" Id="R7ae9b3d7bf384d00" /><Relationship Type="http://schemas.openxmlformats.org/officeDocument/2006/relationships/worksheet" Target="/xl/worksheets/sheet2.xml" Id="Rbddc173848584ed0" /><Relationship Type="http://schemas.openxmlformats.org/officeDocument/2006/relationships/worksheet" Target="/xl/worksheets/sheet3.xml" Id="R8ddbae94ffd841d1" /><Relationship Type="http://schemas.openxmlformats.org/officeDocument/2006/relationships/worksheet" Target="/xl/worksheets/sheet4.xml" Id="R9baf9cdbe3754009" /><Relationship Type="http://schemas.openxmlformats.org/officeDocument/2006/relationships/worksheet" Target="/xl/worksheets/sheet5.xml" Id="R0fe6ccc1954e48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5fadfef7844c3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e88955569934d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SDK 贡献对比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总次数</c:v>
          </c:tx>
          <c:cat>
            <c:strRef>
              <c:f>'01_关键结果'!$A$12:$A$15</c:f>
              <c:strCache>
                <c:ptCount val="0"/>
              </c:strCache>
            </c:strRef>
          </c:cat>
          <c:val>
            <c:numRef>
              <c:f>'01_关键结果'!$B$12:$B$15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退出房间次数按 SDK 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退出房间总次数</c:v>
          </c:tx>
          <c:cat>
            <c:strRef>
              <c:f>'03_维度拆解'!$A$5:$A$8</c:f>
              <c:strCache>
                <c:ptCount val="0"/>
              </c:strCache>
            </c:strRef>
          </c:cat>
          <c:val>
            <c:numRef>
              <c:f>'03_维度拆解'!$B$5:$B$8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5fadfef7844c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88955569934d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0d1dc51dc5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bb19888028a4e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6" hidden="0" customWidth="1"/>
    <x:col min="3" max="3" width="4" hidden="0" customWidth="1"/>
    <x:col min="4" max="4" width="22" hidden="0" customWidth="1"/>
    <x:col min="5" max="5" width="4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退出房间｜导出说明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本页记录本次分析快照和工作簿内容，缺失元数据不推测补齐。</x:v>
      </x:c>
      <x:c r="B2" s="9"/>
      <x:c r="C2" s="9"/>
      <x:c r="D2" s="9"/>
      <x:c r="E2" s="9"/>
      <x:c r="F2" s="9"/>
      <x:c r="G2" s="9"/>
      <x:c r="H2" s="9"/>
    </x:row>
    <x:row r="4" ht="24" customHeight="1">
      <x:c r="A4" s="167" t="str">
        <x:v>查询与数据快照</x:v>
      </x:c>
      <x:c r="B4" s="167"/>
    </x:row>
    <x:row r="5" ht="23" customHeight="1">
      <x:c r="A5" s="178" t="str">
        <x:v>分析名称</x:v>
      </x:c>
      <x:c r="B5" s="172" t="str">
        <x:v>退出房间总次数按 SDK 分析</x:v>
      </x:c>
    </x:row>
    <x:row r="6" ht="23" customHeight="1">
      <x:c r="A6" s="179" t="str">
        <x:v>分析类型</x:v>
      </x:c>
      <x:c r="B6" s="175" t="str">
        <x:v>事件分析</x:v>
      </x:c>
    </x:row>
    <x:row r="7" ht="23" customHeight="1">
      <x:c r="A7" s="179" t="str">
        <x:v>统计对象</x:v>
      </x:c>
      <x:c r="B7" s="175" t="str">
        <x:v>退出房间｜总次数</x:v>
      </x:c>
    </x:row>
    <x:row r="8" ht="23" customHeight="1">
      <x:c r="A8" s="179" t="str">
        <x:v>时间范围</x:v>
      </x:c>
      <x:c r="B8" s="175" t="str">
        <x:v>2026-09-02 至 2026-09-02</x:v>
      </x:c>
    </x:row>
    <x:row r="9" ht="23" customHeight="1">
      <x:c r="A9" s="179" t="str">
        <x:v>时间粒度</x:v>
      </x:c>
      <x:c r="B9" s="175" t="str">
        <x:v>按日</x:v>
      </x:c>
    </x:row>
    <x:row r="10" ht="23" customHeight="1">
      <x:c r="A10" s="179" t="str">
        <x:v>维度</x:v>
      </x:c>
      <x:c r="B10" s="175" t="str">
        <x:v>SDK 类型</x:v>
      </x:c>
    </x:row>
    <x:row r="11" ht="23" customHeight="1">
      <x:c r="A11" s="179" t="str">
        <x:v>筛选条件</x:v>
      </x:c>
      <x:c r="B11" s="181" t="str">
        <x:v>源文件未携带</x:v>
      </x:c>
    </x:row>
    <x:row r="12" ht="23" customHeight="1">
      <x:c r="A12" s="179" t="str">
        <x:v>对比条件</x:v>
      </x:c>
      <x:c r="B12" s="181" t="str">
        <x:v>未设置</x:v>
      </x:c>
    </x:row>
    <x:row r="13" ht="23" customHeight="1">
      <x:c r="A13" s="179" t="str">
        <x:v>时区</x:v>
      </x:c>
      <x:c r="B13" s="181" t="str">
        <x:v>源文件未携带</x:v>
      </x:c>
    </x:row>
    <x:row r="14" ht="23" customHeight="1">
      <x:c r="A14" s="179" t="str">
        <x:v>数据更新时间</x:v>
      </x:c>
      <x:c r="B14" s="181" t="str">
        <x:v>源文件未携带</x:v>
      </x:c>
    </x:row>
    <x:row r="15" ht="23" customHeight="1">
      <x:c r="A15" s="179" t="str">
        <x:v>示例生成时间</x:v>
      </x:c>
      <x:c r="B15" s="175" t="str">
        <x:v>2026/09/02 16:31:56（Asia/Shanghai）</x:v>
      </x:c>
    </x:row>
    <x:row r="16" ht="23" customHeight="1">
      <x:c r="A16" s="179" t="str">
        <x:v>源文件</x:v>
      </x:c>
      <x:c r="B16" s="175" t="str">
        <x:v>退出房间的总次数_事件分析_2026-09-02至2026-09-02_SensorsAnalytics (1).xlsx</x:v>
      </x:c>
    </x:row>
    <x:row r="17" ht="23" customHeight="1">
      <x:c r="A17" s="179" t="str">
        <x:v>数据层级</x:v>
      </x:c>
      <x:c r="B17" s="175" t="str">
        <x:v>日期 × SDK 类型的聚合结果</x:v>
      </x:c>
    </x:row>
    <x:row r="18" ht="23" customHeight="1">
      <x:c r="A18" s="179" t="str">
        <x:v>原始明细</x:v>
      </x:c>
      <x:c r="B18" s="175" t="str">
        <x:v>未包含；本工作簿只使用真实聚合结果</x:v>
      </x:c>
    </x:row>
    <x:row r="21" ht="24" customHeight="1">
      <x:c r="A21" s="167" t="str">
        <x:v>工作簿结构</x:v>
      </x:c>
      <x:c r="B21" s="167"/>
      <x:c r="C21" s="167"/>
      <x:c r="D21" s="167"/>
    </x:row>
    <x:row r="22" ht="28" customHeight="1">
      <x:c r="A22" s="20" t="str">
        <x:v>Sheet</x:v>
      </x:c>
      <x:c r="B22" s="21" t="str">
        <x:v>内容</x:v>
      </x:c>
      <x:c r="C22" s="21" t="str">
        <x:v>结果层级</x:v>
      </x:c>
      <x:c r="D22" s="22" t="str">
        <x:v>是否含加工</x:v>
      </x:c>
    </x:row>
    <x:row r="23" ht="22" customHeight="1">
      <x:c r="A23" s="182" t="str">
        <x:v>01_关键结果</x:v>
      </x:c>
      <x:c r="B23" s="31" t="str">
        <x:v>总次数、维度数量、最高 SDK、最高占比、结果读法</x:v>
      </x:c>
      <x:c r="C23" s="31" t="str">
        <x:v>聚合</x:v>
      </x:c>
      <x:c r="D23" s="32" t="str">
        <x:v>是</x:v>
      </x:c>
    </x:row>
    <x:row r="24" ht="22" customHeight="1">
      <x:c r="A24" s="183" t="str">
        <x:v>02_趋势明细</x:v>
      </x:c>
      <x:c r="B24" s="34" t="str">
        <x:v>日期 × SDK 的真实聚合值</x:v>
      </x:c>
      <x:c r="C24" s="34" t="str">
        <x:v>聚合明细</x:v>
      </x:c>
      <x:c r="D24" s="35" t="str">
        <x:v>占比、排名</x:v>
      </x:c>
    </x:row>
    <x:row r="25" ht="22" customHeight="1">
      <x:c r="A25" s="183" t="str">
        <x:v>03_维度拆解</x:v>
      </x:c>
      <x:c r="B25" s="34" t="str">
        <x:v>SDK 次数、占比、排名、与均值差额</x:v>
      </x:c>
      <x:c r="C25" s="34" t="str">
        <x:v>维度聚合</x:v>
      </x:c>
      <x:c r="D25" s="35" t="str">
        <x:v>是</x:v>
      </x:c>
    </x:row>
    <x:row r="26" ht="22" customHeight="1">
      <x:c r="A26" s="183" t="str">
        <x:v>04_异常与限制</x:v>
      </x:c>
      <x:c r="B26" s="34" t="str">
        <x:v>数值核对和解释边界</x:v>
      </x:c>
      <x:c r="C26" s="34" t="str">
        <x:v>质量说明</x:v>
      </x:c>
      <x:c r="D26" s="35" t="str">
        <x:v>是</x:v>
      </x:c>
    </x:row>
    <x:row r="28" ht="24" customHeight="1">
      <x:c r="A28" s="167" t="str">
        <x:v>标识说明</x:v>
      </x:c>
      <x:c r="B28" s="167"/>
      <x:c r="C28" s="167"/>
      <x:c r="D28" s="167"/>
    </x:row>
    <x:row r="29">
      <x:c r="A29" s="168" t="str">
        <x:v>源结果</x:v>
      </x:c>
      <x:c r="B29" s="31" t="str">
        <x:v>从神策导出文件读取的真实聚合值</x:v>
      </x:c>
      <x:c r="C29" s="31" t="str">
        <x:v>不改变统计口径</x:v>
      </x:c>
      <x:c r="D29" s="32" t="str"/>
    </x:row>
    <x:row r="30">
      <x:c r="A30" s="169" t="str">
        <x:v>派生加工</x:v>
      </x:c>
      <x:c r="B30" s="34" t="str">
        <x:v>由工作簿公式计算的占比、排名、变化等</x:v>
      </x:c>
      <x:c r="C30" s="34" t="str">
        <x:v>用于减少二次计算</x:v>
      </x:c>
      <x:c r="D30" s="35" t="str"/>
    </x:row>
    <x:row r="31">
      <x:c r="A31" s="169" t="str">
        <x:v>缺失元数据</x:v>
      </x:c>
      <x:c r="B31" s="34" t="str">
        <x:v>源文件没有携带的信息</x:v>
      </x:c>
      <x:c r="C31" s="34" t="str">
        <x:v>明确标注，不推测</x:v>
      </x:c>
      <x:c r="D31" s="35" t="str"/>
    </x:row>
  </x:sheetData>
  <x:mergeCells>
    <x:mergeCell ref="A1:H1"/>
    <x:mergeCell ref="A2:H2"/>
    <x:mergeCell ref="A4:B4"/>
    <x:mergeCell ref="A21:D21"/>
    <x:mergeCell ref="A28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4" t="str">
        <x:v>退出房间｜关键结果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9" t="str">
        <x:v>本页同时给出平台结果和可复算的派生加工；完整查询快照见“00_导出说明”。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76" t="str">
        <x:v>总次数</x:v>
      </x:c>
      <x:c r="B4" s="77" t="str">
        <x:v>总次数</x:v>
      </x:c>
      <x:c r="C4" s="78" t="str">
        <x:v>总次数</x:v>
      </x:c>
      <x:c r="D4" s="102" t="str">
        <x:v>SDK 维度值数量</x:v>
      </x:c>
      <x:c r="E4" s="103" t="str">
        <x:v>SDK 维度值数量</x:v>
      </x:c>
      <x:c r="F4" s="104" t="str">
        <x:v>SDK 维度值数量</x:v>
      </x:c>
      <x:c r="G4" s="128" t="str">
        <x:v>最高 SDK 次数</x:v>
      </x:c>
      <x:c r="H4" s="129" t="str">
        <x:v>最高 SDK 次数</x:v>
      </x:c>
      <x:c r="I4" s="130" t="str">
        <x:v>最高 SDK 次数</x:v>
      </x:c>
      <x:c r="J4" s="154" t="str">
        <x:v>最高 SDK 占比</x:v>
      </x:c>
      <x:c r="K4" s="155" t="str">
        <x:v>最高 SDK 占比</x:v>
      </x:c>
      <x:c r="L4" s="156" t="str">
        <x:v>最高 SDK 占比</x:v>
      </x:c>
    </x:row>
    <x:row r="5">
      <x:c r="A5" s="79" t="n">
        <x:f>'02_趋势明细'!$C$9</x:f>
        <x:v>1385</x:v>
      </x:c>
      <x:c r="B5" s="69"/>
      <x:c r="C5" s="80"/>
      <x:c r="D5" s="105" t="n">
        <x:f>COUNTA('03_维度拆解'!$A$5:$A$8)</x:f>
        <x:v>4</x:v>
      </x:c>
      <x:c r="E5" s="95"/>
      <x:c r="F5" s="106"/>
      <x:c r="G5" s="131" t="n">
        <x:f>MAX('03_维度拆解'!$B$5:$B$8)</x:f>
        <x:v>504</x:v>
      </x:c>
      <x:c r="H5" s="121"/>
      <x:c r="I5" s="132"/>
      <x:c r="J5" s="157" t="n">
        <x:f>MAX('03_维度拆解'!$C$5:$C$8)</x:f>
        <x:v>0.36389891696750903</x:v>
      </x:c>
      <x:c r="K5" s="147"/>
      <x:c r="L5" s="158"/>
    </x:row>
    <x:row r="6">
      <x:c r="A6" s="79"/>
      <x:c r="B6" s="69"/>
      <x:c r="C6" s="80"/>
      <x:c r="D6" s="105"/>
      <x:c r="E6" s="95"/>
      <x:c r="F6" s="106"/>
      <x:c r="G6" s="131"/>
      <x:c r="H6" s="121"/>
      <x:c r="I6" s="132"/>
      <x:c r="J6" s="157"/>
      <x:c r="K6" s="147"/>
      <x:c r="L6" s="158"/>
    </x:row>
    <x:row r="7">
      <x:c r="A7" s="81"/>
      <x:c r="B7" s="70"/>
      <x:c r="C7" s="82"/>
      <x:c r="D7" s="107"/>
      <x:c r="E7" s="96"/>
      <x:c r="F7" s="108"/>
      <x:c r="G7" s="133"/>
      <x:c r="H7" s="122"/>
      <x:c r="I7" s="134"/>
      <x:c r="J7" s="159"/>
      <x:c r="K7" s="148"/>
      <x:c r="L7" s="160"/>
    </x:row>
    <x:row r="8">
      <x:c r="A8" s="83" t="str">
        <x:v>源结果：4 个 SDK 的合计</x:v>
      </x:c>
      <x:c r="B8" s="75" t="str">
        <x:v>源结果：4 个 SDK 的合计</x:v>
      </x:c>
      <x:c r="C8" s="84" t="str">
        <x:v>源结果：4 个 SDK 的合计</x:v>
      </x:c>
      <x:c r="D8" s="109" t="str">
        <x:v>派生：本次返回的维度值数</x:v>
      </x:c>
      <x:c r="E8" s="101" t="str">
        <x:v>派生：本次返回的维度值数</x:v>
      </x:c>
      <x:c r="F8" s="110" t="str">
        <x:v>派生：本次返回的维度值数</x:v>
      </x:c>
      <x:c r="G8" s="135" t="str">
        <x:f>INDEX('03_维度拆解'!$A$5:$A$8,MATCH(MAX('03_维度拆解'!$B$5:$B$8),'03_维度拆解'!$B$5:$B$8,0))</x:f>
        <x:v>iOS</x:v>
      </x:c>
      <x:c r="H8" s="127"/>
      <x:c r="I8" s="136"/>
      <x:c r="J8" s="161" t="str">
        <x:v>派生：最高维度值÷总次数</x:v>
      </x:c>
      <x:c r="K8" s="153" t="str">
        <x:v>派生：最高维度值÷总次数</x:v>
      </x:c>
      <x:c r="L8" s="162" t="str">
        <x:v>派生：最高维度值÷总次数</x:v>
      </x:c>
    </x:row>
    <x:row r="11" ht="28" customHeight="1">
      <x:c r="A11" s="20" t="str">
        <x:v>SDK 类型</x:v>
      </x:c>
      <x:c r="B11" s="21" t="str">
        <x:v>总次数</x:v>
      </x:c>
      <x:c r="C11" s="21" t="str">
        <x:v>占比</x:v>
      </x:c>
      <x:c r="D11" s="22" t="str">
        <x:v>排名</x:v>
      </x:c>
    </x:row>
    <x:row r="12">
      <x:c r="A12" s="30" t="str">
        <x:f>'03_维度拆解'!A5</x:f>
        <x:v>iOS</x:v>
      </x:c>
      <x:c r="B12" s="38" t="n">
        <x:f>'03_维度拆解'!B5</x:f>
        <x:v>504</x:v>
      </x:c>
      <x:c r="C12" s="40" t="n">
        <x:f>'03_维度拆解'!C5</x:f>
        <x:v>0.36389891696750903</x:v>
      </x:c>
      <x:c r="D12" s="163" t="n">
        <x:f>'03_维度拆解'!D5</x:f>
        <x:v>1</x:v>
      </x:c>
    </x:row>
    <x:row r="13">
      <x:c r="A13" s="33" t="str">
        <x:f>'03_维度拆解'!A6</x:f>
        <x:v>Android</x:v>
      </x:c>
      <x:c r="B13" s="39" t="n">
        <x:f>'03_维度拆解'!B6</x:f>
        <x:v>492</x:v>
      </x:c>
      <x:c r="C13" s="41" t="n">
        <x:f>'03_维度拆解'!C6</x:f>
        <x:v>0.3552346570397112</x:v>
      </x:c>
      <x:c r="D13" s="164" t="n">
        <x:f>'03_维度拆解'!D6</x:f>
        <x:v>2</x:v>
      </x:c>
    </x:row>
    <x:row r="14">
      <x:c r="A14" s="33" t="str">
        <x:f>'03_维度拆解'!A7</x:f>
        <x:v>js</x:v>
      </x:c>
      <x:c r="B14" s="39" t="n">
        <x:f>'03_维度拆解'!B7</x:f>
        <x:v>322</x:v>
      </x:c>
      <x:c r="C14" s="41" t="n">
        <x:f>'03_维度拆解'!C7</x:f>
        <x:v>0.23249097472924188</x:v>
      </x:c>
      <x:c r="D14" s="164" t="n">
        <x:f>'03_维度拆解'!D7</x:f>
        <x:v>3</x:v>
      </x:c>
    </x:row>
    <x:row r="15">
      <x:c r="A15" s="33" t="str">
        <x:f>'03_维度拆解'!A8</x:f>
        <x:v>python</x:v>
      </x:c>
      <x:c r="B15" s="39" t="n">
        <x:f>'03_维度拆解'!B8</x:f>
        <x:v>67</x:v>
      </x:c>
      <x:c r="C15" s="41" t="n">
        <x:f>'03_维度拆解'!C8</x:f>
        <x:v>0.04837545126353791</x:v>
      </x:c>
      <x:c r="D15" s="164" t="n">
        <x:f>'03_维度拆解'!D8</x:f>
        <x:v>4</x:v>
      </x:c>
    </x:row>
    <x:row r="18" ht="24" customHeight="1">
      <x:c r="A18" s="167" t="str">
        <x:v>结果读法</x:v>
      </x:c>
      <x:c r="B18" s="167"/>
      <x:c r="C18" s="167"/>
      <x:c r="D18" s="167"/>
    </x:row>
    <x:row r="19">
      <x:c r="A19" s="168" t="str">
        <x:v>最高维度</x:v>
      </x:c>
      <x:c r="B19" s="31" t="str">
        <x:v>iOS</x:v>
      </x:c>
      <x:c r="C19" s="31" t="str">
        <x:v>504 次</x:v>
      </x:c>
      <x:c r="D19" s="32" t="str">
        <x:v>占总次数 36.39%</x:v>
      </x:c>
    </x:row>
    <x:row r="20">
      <x:c r="A20" s="169" t="str">
        <x:v>次高维度</x:v>
      </x:c>
      <x:c r="B20" s="34" t="str">
        <x:v>Android</x:v>
      </x:c>
      <x:c r="C20" s="34" t="str">
        <x:v>492 次</x:v>
      </x:c>
      <x:c r="D20" s="35" t="str">
        <x:v>占总次数 35.52%</x:v>
      </x:c>
    </x:row>
    <x:row r="21">
      <x:c r="A21" s="169" t="str">
        <x:v>头部集中度</x:v>
      </x:c>
      <x:c r="B21" s="34" t="str">
        <x:v>iOS + Android</x:v>
      </x:c>
      <x:c r="C21" s="34" t="str">
        <x:v>996 次</x:v>
      </x:c>
      <x:c r="D21" s="35" t="str">
        <x:v>派生占比 71.91%</x:v>
      </x:c>
    </x:row>
    <x:row r="22">
      <x:c r="A22" s="169" t="str">
        <x:v>趋势限制</x:v>
      </x:c>
      <x:c r="B22" s="34" t="str">
        <x:v>仅 1 天数据</x:v>
      </x:c>
      <x:c r="C22" s="34" t="str">
        <x:v>不判断增长或下降</x:v>
      </x:c>
      <x:c r="D22" s="35" t="str">
        <x:v>避免伪趋势</x:v>
      </x:c>
    </x:row>
  </x:sheetData>
  <x:mergeCells>
    <x:mergeCell ref="A1:L1"/>
    <x:mergeCell ref="A2:L2"/>
    <x:mergeCell ref="A4:C4"/>
    <x:mergeCell ref="A5:C7"/>
    <x:mergeCell ref="A8:C8"/>
    <x:mergeCell ref="D4:F4"/>
    <x:mergeCell ref="D5:F7"/>
    <x:mergeCell ref="D8:F8"/>
    <x:mergeCell ref="G4:I4"/>
    <x:mergeCell ref="G5:I7"/>
    <x:mergeCell ref="G8:I8"/>
    <x:mergeCell ref="J4:L4"/>
    <x:mergeCell ref="J5:L7"/>
    <x:mergeCell ref="J8:L8"/>
    <x:mergeCell ref="A18:D18"/>
  </x:mergeCells>
  <x:pageMargins left="0.7" right="0.7" top="0.75" bottom="0.75" header="0.3" footer="0.3"/>
  <x:drawing xmlns:r="http://schemas.openxmlformats.org/officeDocument/2006/relationships" r:id="R750d1dc51dc54fe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6" hidden="0" customWidth="1"/>
    <x:col min="5" max="5" width="12" hidden="0" customWidth="1"/>
    <x:col min="6" max="6" width="30" hidden="0" customWidth="1"/>
  </x:cols>
  <x:sheetData>
    <x:row r="1" ht="34" customHeight="1">
      <x:c r="A1" s="4" t="str">
        <x:v>退出房间｜趋势明细</x:v>
      </x:c>
      <x:c r="B1" s="4"/>
      <x:c r="C1" s="4"/>
      <x:c r="D1" s="4"/>
      <x:c r="E1" s="4"/>
      <x:c r="F1" s="4"/>
    </x:row>
    <x:row r="2" ht="28" customHeight="1">
      <x:c r="A2" s="9" t="str">
        <x:v>真实聚合结果：2026-09-02，按 SDK 类型拆分；不是用户级或事件级原始流水。</x:v>
      </x:c>
      <x:c r="B2" s="9"/>
      <x:c r="C2" s="9"/>
      <x:c r="D2" s="9"/>
      <x:c r="E2" s="9"/>
      <x:c r="F2" s="9"/>
    </x:row>
    <x:row r="4" ht="28" customHeight="1">
      <x:c r="A4" s="20" t="str">
        <x:v>日期</x:v>
      </x:c>
      <x:c r="B4" s="21" t="str">
        <x:v>SDK 类型</x:v>
      </x:c>
      <x:c r="C4" s="21" t="str">
        <x:v>退出房间总次数</x:v>
      </x:c>
      <x:c r="D4" s="21" t="str">
        <x:v>当日占比（派生）</x:v>
      </x:c>
      <x:c r="E4" s="21" t="str">
        <x:v>当日排名（派生）</x:v>
      </x:c>
      <x:c r="F4" s="22" t="str">
        <x:v>数据层级</x:v>
      </x:c>
    </x:row>
    <x:row r="5">
      <x:c r="A5" s="36" t="n">
        <x:v>46267</x:v>
      </x:c>
      <x:c r="B5" s="31" t="str">
        <x:v>iOS</x:v>
      </x:c>
      <x:c r="C5" s="38" t="n">
        <x:v>504</x:v>
      </x:c>
      <x:c r="D5" s="40" t="n">
        <x:f>C5/$C$9</x:f>
        <x:v>0.36389891696750903</x:v>
      </x:c>
      <x:c r="E5" s="42" t="n">
        <x:f>RANK.EQ(C5,$C$5:$C$8,0)</x:f>
        <x:v>1</x:v>
      </x:c>
      <x:c r="F5" s="32" t="str">
        <x:v>聚合结果（非原始明细）</x:v>
      </x:c>
    </x:row>
    <x:row r="6">
      <x:c r="A6" s="37" t="n">
        <x:v>46267</x:v>
      </x:c>
      <x:c r="B6" s="34" t="str">
        <x:v>Android</x:v>
      </x:c>
      <x:c r="C6" s="39" t="n">
        <x:v>492</x:v>
      </x:c>
      <x:c r="D6" s="41" t="n">
        <x:f>C6/$C$9</x:f>
        <x:v>0.3552346570397112</x:v>
      </x:c>
      <x:c r="E6" s="43" t="n">
        <x:f>RANK.EQ(C6,$C$5:$C$8,0)</x:f>
        <x:v>2</x:v>
      </x:c>
      <x:c r="F6" s="35" t="str">
        <x:v>聚合结果（非原始明细）</x:v>
      </x:c>
    </x:row>
    <x:row r="7">
      <x:c r="A7" s="37" t="n">
        <x:v>46267</x:v>
      </x:c>
      <x:c r="B7" s="34" t="str">
        <x:v>js</x:v>
      </x:c>
      <x:c r="C7" s="39" t="n">
        <x:v>322</x:v>
      </x:c>
      <x:c r="D7" s="41" t="n">
        <x:f>C7/$C$9</x:f>
        <x:v>0.23249097472924188</x:v>
      </x:c>
      <x:c r="E7" s="43" t="n">
        <x:f>RANK.EQ(C7,$C$5:$C$8,0)</x:f>
        <x:v>3</x:v>
      </x:c>
      <x:c r="F7" s="35" t="str">
        <x:v>聚合结果（非原始明细）</x:v>
      </x:c>
    </x:row>
    <x:row r="8">
      <x:c r="A8" s="37" t="n">
        <x:v>46267</x:v>
      </x:c>
      <x:c r="B8" s="34" t="str">
        <x:v>python</x:v>
      </x:c>
      <x:c r="C8" s="39" t="n">
        <x:v>67</x:v>
      </x:c>
      <x:c r="D8" s="41" t="n">
        <x:f>C8/$C$9</x:f>
        <x:v>0.04837545126353791</x:v>
      </x:c>
      <x:c r="E8" s="43" t="n">
        <x:f>RANK.EQ(C8,$C$5:$C$8,0)</x:f>
        <x:v>4</x:v>
      </x:c>
      <x:c r="F8" s="35" t="str">
        <x:v>聚合结果（非原始明细）</x:v>
      </x:c>
    </x:row>
    <x:row r="9">
      <x:c r="A9" s="54" t="str">
        <x:v>合计</x:v>
      </x:c>
      <x:c r="B9" s="55"/>
      <x:c r="C9" s="56" t="n">
        <x:f>SUM(C5:C8)</x:f>
        <x:v>1385</x:v>
      </x:c>
      <x:c r="D9" s="57" t="n">
        <x:f>SUM(D5:D8)</x:f>
        <x:v>1</x:v>
      </x:c>
      <x:c r="E9" s="55"/>
      <x:c r="F9" s="55" t="str">
        <x:v>源文件透视合计</x:v>
      </x:c>
    </x:row>
  </x:sheetData>
  <x:mergeCells>
    <x:mergeCell ref="A1:F1"/>
    <x:mergeCell ref="A2:F2"/>
    <x:mergeCell ref="A9:B9"/>
  </x:mergeCells>
  <x:conditionalFormatting sqref="D5:D8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{B5BF0F85-D117-13EE-433C-B67999879D4B}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BF0F85-D117-13EE-433C-B67999879D4B}">
            <x14:dataBar gradient="1">
              <x14:cfvo type="min"/>
              <x14:cfvo type="max"/>
              <x14:fillColor rgb="FF2563EB"/>
            </x14:dataBar>
          </x14:cfRule>
          <xm:sqref>D5:D8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6" hidden="0" customWidth="1"/>
    <x:col min="5" max="5" width="24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4" t="str">
        <x:v>退出房间｜SDK 维度拆解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9" t="str">
        <x:v>每个维度值均来自源文件；占比、排名和与均值差额为公式派生。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 ht="28" customHeight="1">
      <x:c r="A4" s="20" t="str">
        <x:v>SDK 类型</x:v>
      </x:c>
      <x:c r="B4" s="21" t="str">
        <x:v>退出房间总次数</x:v>
      </x:c>
      <x:c r="C4" s="21" t="str">
        <x:v>占比（派生）</x:v>
      </x:c>
      <x:c r="D4" s="21" t="str">
        <x:v>排名（派生）</x:v>
      </x:c>
      <x:c r="E4" s="22" t="str">
        <x:v>较 SDK 均值差额（派生）</x:v>
      </x:c>
    </x:row>
    <x:row r="5">
      <x:c r="A5" s="30" t="str">
        <x:v>iOS</x:v>
      </x:c>
      <x:c r="B5" s="38" t="n">
        <x:f>'02_趋势明细'!C5</x:f>
        <x:v>504</x:v>
      </x:c>
      <x:c r="C5" s="40" t="n">
        <x:f>B5/$B$9</x:f>
        <x:v>0.36389891696750903</x:v>
      </x:c>
      <x:c r="D5" s="42" t="n">
        <x:f>RANK.EQ(B5,$B$5:$B$8,0)</x:f>
        <x:v>1</x:v>
      </x:c>
      <x:c r="E5" s="58" t="n">
        <x:f>B5-AVERAGE($B$5:$B$8)</x:f>
        <x:v>157.75</x:v>
      </x:c>
    </x:row>
    <x:row r="6">
      <x:c r="A6" s="33" t="str">
        <x:v>Android</x:v>
      </x:c>
      <x:c r="B6" s="39" t="n">
        <x:f>'02_趋势明细'!C6</x:f>
        <x:v>492</x:v>
      </x:c>
      <x:c r="C6" s="41" t="n">
        <x:f>B6/$B$9</x:f>
        <x:v>0.3552346570397112</x:v>
      </x:c>
      <x:c r="D6" s="43" t="n">
        <x:f>RANK.EQ(B6,$B$5:$B$8,0)</x:f>
        <x:v>2</x:v>
      </x:c>
      <x:c r="E6" s="59" t="n">
        <x:f>B6-AVERAGE($B$5:$B$8)</x:f>
        <x:v>145.75</x:v>
      </x:c>
    </x:row>
    <x:row r="7">
      <x:c r="A7" s="33" t="str">
        <x:v>js</x:v>
      </x:c>
      <x:c r="B7" s="39" t="n">
        <x:f>'02_趋势明细'!C7</x:f>
        <x:v>322</x:v>
      </x:c>
      <x:c r="C7" s="41" t="n">
        <x:f>B7/$B$9</x:f>
        <x:v>0.23249097472924188</x:v>
      </x:c>
      <x:c r="D7" s="43" t="n">
        <x:f>RANK.EQ(B7,$B$5:$B$8,0)</x:f>
        <x:v>3</x:v>
      </x:c>
      <x:c r="E7" s="59" t="n">
        <x:f>B7-AVERAGE($B$5:$B$8)</x:f>
        <x:v>-24.25</x:v>
      </x:c>
    </x:row>
    <x:row r="8">
      <x:c r="A8" s="33" t="str">
        <x:v>python</x:v>
      </x:c>
      <x:c r="B8" s="39" t="n">
        <x:f>'02_趋势明细'!C8</x:f>
        <x:v>67</x:v>
      </x:c>
      <x:c r="C8" s="41" t="n">
        <x:f>B8/$B$9</x:f>
        <x:v>0.04837545126353791</x:v>
      </x:c>
      <x:c r="D8" s="43" t="n">
        <x:f>RANK.EQ(B8,$B$5:$B$8,0)</x:f>
        <x:v>4</x:v>
      </x:c>
      <x:c r="E8" s="59" t="n">
        <x:f>B8-AVERAGE($B$5:$B$8)</x:f>
        <x:v>-279.25</x:v>
      </x:c>
    </x:row>
    <x:row r="9">
      <x:c r="A9" s="54" t="str">
        <x:v>合计</x:v>
      </x:c>
      <x:c r="B9" s="56" t="n">
        <x:f>SUM(B5:B8)</x:f>
        <x:v>1385</x:v>
      </x:c>
      <x:c r="C9" s="57" t="n">
        <x:f>SUM(C5:C8)</x:f>
        <x:v>1</x:v>
      </x:c>
      <x:c r="D9" s="55"/>
      <x:c r="E9" s="55"/>
    </x:row>
  </x:sheetData>
  <x:mergeCells>
    <x:mergeCell ref="A1:L1"/>
    <x:mergeCell ref="A2:L2"/>
  </x:mergeCells>
  <x:conditionalFormatting sqref="C5:C8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{9C457930-8C36-723C-6D47-EF4D149675E3}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bb19888028a4e2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457930-8C36-723C-6D47-EF4D149675E3}">
            <x14:dataBar gradient="1">
              <x14:cfvo type="min"/>
              <x14:cfvo type="max"/>
              <x14:fillColor rgb="FF0F766E"/>
            </x14:dataBar>
          </x14:cfRule>
          <xm:sqref>C5:C8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4" hidden="0" customWidth="1"/>
    <x:col min="7" max="7" width="20" hidden="0" customWidth="1"/>
    <x:col min="8" max="8" width="20" hidden="0" customWidth="1"/>
  </x:cols>
  <x:sheetData>
    <x:row r="1" ht="34" customHeight="1">
      <x:c r="A1" s="4" t="str">
        <x:v>退出房间｜异常与限制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核对真实聚合结果，并明确哪些数据本次无法提供。</x:v>
      </x:c>
      <x:c r="B2" s="9"/>
      <x:c r="C2" s="9"/>
      <x:c r="D2" s="9"/>
      <x:c r="E2" s="9"/>
      <x:c r="F2" s="9"/>
      <x:c r="G2" s="9"/>
      <x:c r="H2" s="9"/>
    </x:row>
    <x:row r="4" ht="28" customHeight="1">
      <x:c r="A4" s="20" t="str">
        <x:v>核对项</x:v>
      </x:c>
      <x:c r="B4" s="21" t="str">
        <x:v>源文件值</x:v>
      </x:c>
      <x:c r="C4" s="21" t="str">
        <x:v>本工作簿值</x:v>
      </x:c>
      <x:c r="D4" s="21" t="str">
        <x:v>差值</x:v>
      </x:c>
      <x:c r="E4" s="22" t="str">
        <x:v>状态</x:v>
      </x:c>
    </x:row>
    <x:row r="5">
      <x:c r="A5" s="30" t="str">
        <x:v>总次数合计</x:v>
      </x:c>
      <x:c r="B5" s="38" t="n">
        <x:v>1385</x:v>
      </x:c>
      <x:c r="C5" s="38" t="n">
        <x:f>'01_关键结果'!A5</x:f>
        <x:v>1385</x:v>
      </x:c>
      <x:c r="D5" s="38" t="n">
        <x:f>C5-B5</x:f>
        <x:v>0</x:v>
      </x:c>
      <x:c r="E5" s="32" t="str">
        <x:f>IF(D5=0,"通过","异常")</x:f>
        <x:v>通过</x:v>
      </x:c>
    </x:row>
    <x:row r="6">
      <x:c r="A6" s="33" t="str">
        <x:v>返回 SDK 数</x:v>
      </x:c>
      <x:c r="B6" s="39" t="n">
        <x:v>4</x:v>
      </x:c>
      <x:c r="C6" s="39" t="n">
        <x:f>'01_关键结果'!D5</x:f>
        <x:v>4</x:v>
      </x:c>
      <x:c r="D6" s="39" t="n">
        <x:f>C6-B6</x:f>
        <x:v>0</x:v>
      </x:c>
      <x:c r="E6" s="35" t="str">
        <x:f>IF(D6=0,"通过","异常")</x:f>
        <x:v>通过</x:v>
      </x:c>
    </x:row>
    <x:row r="9" ht="24" customHeight="1">
      <x:c r="A9" s="167" t="str">
        <x:v>异常、缺失与解释边界</x:v>
      </x:c>
      <x:c r="B9" s="167"/>
      <x:c r="C9" s="167"/>
    </x:row>
    <x:row r="10" ht="28" customHeight="1">
      <x:c r="A10" s="20" t="str">
        <x:v>项目</x:v>
      </x:c>
      <x:c r="B10" s="21" t="str">
        <x:v>实际情况</x:v>
      </x:c>
      <x:c r="C10" s="22" t="str">
        <x:v>处理方式</x:v>
      </x:c>
    </x:row>
    <x:row r="11" ht="38" customHeight="1">
      <x:c r="A11" s="170" t="str">
        <x:v>查询上下文</x:v>
      </x:c>
      <x:c r="B11" s="171" t="str">
        <x:v>源文件未携带筛选条件、时区和数据更新时间</x:v>
      </x:c>
      <x:c r="C11" s="172" t="str">
        <x:v>在导出说明中明确标记“未携带”</x:v>
      </x:c>
    </x:row>
    <x:row r="12" ht="38" customHeight="1">
      <x:c r="A12" s="173" t="str">
        <x:v>时间范围</x:v>
      </x:c>
      <x:c r="B12" s="174" t="str">
        <x:v>只有 2026-09-02 一天</x:v>
      </x:c>
      <x:c r="C12" s="175" t="str">
        <x:v>不生成增长率或时间趋势结论</x:v>
      </x:c>
    </x:row>
    <x:row r="13" ht="38" customHeight="1">
      <x:c r="A13" s="173" t="str">
        <x:v>均值/最大/最小</x:v>
      </x:c>
      <x:c r="B13" s="174" t="str">
        <x:v>每个 SDK 只有一个日观测值，三者相同</x:v>
      </x:c>
      <x:c r="C13" s="175" t="str">
        <x:v>不解释为事件级分布</x:v>
      </x:c>
    </x:row>
    <x:row r="14" ht="38" customHeight="1">
      <x:c r="A14" s="173" t="str">
        <x:v>原始明细</x:v>
      </x:c>
      <x:c r="B14" s="174" t="str">
        <x:v>没有用户级、事件级流水</x:v>
      </x:c>
      <x:c r="C14" s="175" t="str">
        <x:v>不创建空表，也不使用模拟数据</x:v>
      </x:c>
    </x:row>
    <x:row r="15" ht="38" customHeight="1">
      <x:c r="A15" s="173" t="str">
        <x:v>指标权威映射</x:v>
      </x:c>
      <x:c r="B15" s="174" t="str">
        <x:v>示例未绑定 YPBI 指标 ID 与版本</x:v>
      </x:c>
      <x:c r="C15" s="175" t="str">
        <x:v>仅演示导出结构，不作为正式指标口径</x:v>
      </x:c>
    </x:row>
  </x:sheetData>
  <x:mergeCells>
    <x:mergeCell ref="A1:H1"/>
    <x:mergeCell ref="A2:H2"/>
    <x:mergeCell ref="A9:C9"/>
  </x:mergeCells>
  <x:conditionalFormatting sqref="E5:E6">
    <x:cfRule type="containsText" dxfId="0" priority="1" operator="containsText" text="通过"/>
  </x:conditionalFormatting>
  <x:pageMargins left="0.7" right="0.7" top="0.75" bottom="0.75" header="0.3" footer="0.3"/>
</x:worksheet>
</file>