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b5aba9b35941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导出说明" sheetId="1" r:id="R9b9412adbffe4c8f"/>
    <x:sheet xmlns:r="http://schemas.openxmlformats.org/officeDocument/2006/relationships" name="01_关键结果" sheetId="2" r:id="Rde223e531ea4457b"/>
    <x:sheet xmlns:r="http://schemas.openxmlformats.org/officeDocument/2006/relationships" name="02_趋势明细" sheetId="3" r:id="R6021e5670fd74cdc"/>
    <x:sheet xmlns:r="http://schemas.openxmlformats.org/officeDocument/2006/relationships" name="03_维度拆解" sheetId="4" r:id="Rad83f56c5db64b30"/>
    <x:sheet xmlns:r="http://schemas.openxmlformats.org/officeDocument/2006/relationships" name="04_异常与限制" sheetId="5" r:id="Rdd7e395dddfc45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#,##0"/>
    <x:numFmt numFmtId="202" formatCode="0.00%"/>
    <x:numFmt numFmtId="203" formatCode="+#,##0.0;-#,##0.0;0.0"/>
    <x:numFmt numFmtId="204" formatCode="#,##0.0"/>
    <x:numFmt numFmtId="205" formatCode="+#,##0;-#,##0;0"/>
    <x:numFmt numFmtId="206" formatCode="#,##0.000"/>
  </x:numFmts>
  <x:fonts count="13">
    <x:font>
      <x:sz val="11"/>
      <x:name val="Carlito"/>
    </x:font>
    <x:font>
      <x:b/>
      <x:sz val="18"/>
      <x:color rgb="FFFFFFFF"/>
      <x:name val="Carlito"/>
    </x:font>
    <x:font>
      <x:sz val="10"/>
      <x:color rgb="FF64748B"/>
      <x:name val="Carlito"/>
    </x:font>
    <x:font>
      <x:b/>
      <x:sz val="10"/>
      <x:color rgb="FFFFFFFF"/>
      <x:name val="Carlito"/>
    </x:font>
    <x:font>
      <x:sz val="10"/>
      <x:color rgb="FF334155"/>
      <x:name val="Carlito"/>
    </x:font>
    <x:font>
      <x:b/>
      <x:sz val="10"/>
      <x:color rgb="FF16324F"/>
      <x:name val="Carlito"/>
    </x:font>
    <x:font>
      <x:b/>
      <x:sz val="18"/>
      <x:color rgb="FF64748B"/>
      <x:name val="Carlito"/>
    </x:font>
    <x:font>
      <x:b/>
      <x:sz val="11"/>
      <x:color rgb="FF16324F"/>
      <x:name val="Carlito"/>
    </x:font>
    <x:font>
      <x:b/>
      <x:sz val="10"/>
      <x:color rgb="FF334155"/>
      <x:name val="Carlito"/>
    </x:font>
    <x:font>
      <x:b/>
      <x:sz val="22"/>
      <x:color rgb="FF172033"/>
      <x:name val="Carlito"/>
    </x:font>
    <x:font>
      <x:sz val="9"/>
      <x:color rgb="FF64748B"/>
      <x:name val="Carlito"/>
    </x:font>
    <x:font>
      <x:sz val="10"/>
      <x:color rgb="FFD97706"/>
      <x:name val="Carlito"/>
    </x:font>
    <x:font>
      <x:b/>
      <x:sz val="10"/>
      <x:color rgb="FF2563E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FF6FF"/>
      </x:patternFill>
    </x:fill>
    <x:fill>
      <x:patternFill patternType="solid">
        <x:fgColor rgb="FFF8FAFC"/>
      </x:patternFill>
    </x:fill>
    <x:fill>
      <x:patternFill patternType="solid">
        <x:fgColor rgb="FFECFDF5"/>
      </x:patternFill>
    </x:fill>
    <x:fill>
      <x:patternFill patternType="solid">
        <x:fgColor rgb="FFFFF7ED"/>
      </x:patternFill>
    </x:fill>
  </x:fills>
  <x:borders count="21">
    <x:border/>
    <x:border>
      <x:right style="thin">
        <x:color rgb="FFA9B9C8"/>
      </x:right>
      <x:bottom style="medium">
        <x:color rgb="FF16324F"/>
      </x:bottom>
    </x:border>
    <x:border>
      <x:left style="thin">
        <x:color rgb="FFA9B9C8"/>
      </x:left>
      <x:right style="thin">
        <x:color rgb="FFA9B9C8"/>
      </x:right>
      <x:bottom style="medium">
        <x:color rgb="FF16324F"/>
      </x:bottom>
    </x:border>
    <x:border>
      <x:left style="thin">
        <x:color rgb="FFA9B9C8"/>
      </x:left>
      <x:bottom style="medium">
        <x:color rgb="FF16324F"/>
      </x:bottom>
    </x:border>
    <x:border>
      <x:right style="thin">
        <x:color rgb="FFEEF2F7"/>
      </x:right>
      <x:bottom style="thin">
        <x:color rgb="FFD9E2EC"/>
      </x:bottom>
    </x:border>
    <x:border>
      <x:left style="thin">
        <x:color rgb="FFEEF2F7"/>
      </x:left>
      <x:right style="thin">
        <x:color rgb="FFEEF2F7"/>
      </x:right>
      <x:bottom style="thin">
        <x:color rgb="FFD9E2EC"/>
      </x:bottom>
    </x:border>
    <x:border>
      <x:left style="thin">
        <x:color rgb="FFEEF2F7"/>
      </x:left>
      <x:bottom style="thin">
        <x:color rgb="FFD9E2EC"/>
      </x:bottom>
    </x:border>
    <x:border>
      <x:right style="thin">
        <x:color rgb="FFEEF2F7"/>
      </x:right>
      <x:top style="thin">
        <x:color rgb="FFD9E2EC"/>
      </x:top>
      <x:bottom style="thin">
        <x:color rgb="FFD9E2EC"/>
      </x:bottom>
    </x:border>
    <x:border>
      <x:left style="thin">
        <x:color rgb="FFEEF2F7"/>
      </x:left>
      <x:right style="thin">
        <x:color rgb="FFEEF2F7"/>
      </x:right>
      <x:top style="thin">
        <x:color rgb="FFD9E2EC"/>
      </x:top>
      <x:bottom style="thin">
        <x:color rgb="FFD9E2EC"/>
      </x:bottom>
    </x:border>
    <x:border>
      <x:left style="thin">
        <x:color rgb="FFEEF2F7"/>
      </x:left>
      <x:top style="thin">
        <x:color rgb="FFD9E2EC"/>
      </x:top>
      <x:bottom style="thin">
        <x:color rgb="FFD9E2EC"/>
      </x:bottom>
    </x:border>
    <x:border>
      <x:right style="thin">
        <x:color rgb="FFEEF2F7"/>
      </x:right>
      <x:top style="medium">
        <x:color rgb="FF2563EB"/>
      </x:top>
      <x:bottom style="thin">
        <x:color rgb="FFD9E2EC"/>
      </x:bottom>
    </x:border>
    <x:border>
      <x:left style="thin">
        <x:color rgb="FFEEF2F7"/>
      </x:left>
      <x:right style="thin">
        <x:color rgb="FFEEF2F7"/>
      </x:right>
      <x:top style="medium">
        <x:color rgb="FF2563EB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</x:border>
    <x:border>
      <x:right style="thin">
        <x:color rgb="FFD9E2EC"/>
      </x:right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bottom style="medium">
        <x:color rgb="FF2563EB"/>
      </x:bottom>
    </x:border>
  </x:borders>
  <x:cellStyleXfs count="1">
    <x:xf numFmtId="0" fontId="0" fillId="0" borderId="0"/>
  </x:cellStyleXfs>
  <x:cellXfs count="2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8" xfId="0" applyNumberFormat="1" applyFont="1" applyFill="1" applyBorder="1" applyAlignment="1">
      <x:alignment vertical="center"/>
    </x:xf>
    <x:xf numFmtId="203" fontId="4" fillId="0" borderId="6" xfId="0" applyNumberFormat="1" applyFont="1" applyFill="1" applyBorder="1" applyAlignment="1">
      <x:alignment vertical="center"/>
    </x:xf>
    <x:xf numFmtId="203" fontId="4" fillId="0" borderId="9" xfId="0" applyNumberFormat="1" applyFont="1" applyFill="1" applyBorder="1" applyAlignment="1">
      <x:alignment vertical="center"/>
    </x:xf>
    <x:xf numFmtId="0" fontId="4" fillId="3" borderId="7" xfId="0" applyNumberFormat="1" applyFont="1" applyFill="1" applyBorder="1" applyAlignment="1">
      <x:alignment vertical="center"/>
    </x:xf>
    <x:xf numFmtId="201" fontId="4" fillId="3" borderId="8" xfId="0" applyNumberFormat="1" applyFont="1" applyFill="1" applyBorder="1" applyAlignment="1">
      <x:alignment vertical="center"/>
    </x:xf>
    <x:xf numFmtId="0" fontId="4" fillId="3" borderId="8" xfId="0" applyNumberFormat="1" applyFont="1" applyFill="1" applyBorder="1" applyAlignment="1">
      <x:alignment vertical="center"/>
    </x:xf>
    <x:xf numFmtId="203" fontId="4" fillId="3" borderId="9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  <x:xf numFmtId="201" fontId="5" fillId="3" borderId="8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vertical="center"/>
    </x:xf>
    <x:xf numFmtId="203" fontId="5" fillId="3" borderId="9" xfId="0" applyNumberFormat="1" applyFont="1" applyFill="1" applyBorder="1" applyAlignment="1">
      <x:alignment vertical="center"/>
    </x:xf>
    <x:xf numFmtId="0" fontId="5" fillId="3" borderId="10" xfId="0" applyNumberFormat="1" applyFont="1" applyFill="1" applyBorder="1" applyAlignment="1">
      <x:alignment vertical="center"/>
    </x:xf>
    <x:xf numFmtId="201" fontId="5" fillId="3" borderId="11" xfId="0" applyNumberFormat="1" applyFont="1" applyFill="1" applyBorder="1" applyAlignment="1">
      <x:alignment vertical="center"/>
    </x:xf>
    <x:xf numFmtId="0" fontId="5" fillId="3" borderId="11" xfId="0" applyNumberFormat="1" applyFont="1" applyFill="1" applyBorder="1" applyAlignment="1">
      <x:alignment vertical="center"/>
    </x:xf>
    <x:xf numFmtId="203" fontId="5" fillId="3" borderId="1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2" xfId="0" applyNumberFormat="1" applyFont="1" applyFill="1" applyBorder="1"/>
    <x:xf numFmtId="0" fontId="6" fillId="4" borderId="13" xfId="0" applyNumberFormat="1" applyFont="1" applyFill="1" applyBorder="1"/>
    <x:xf numFmtId="0" fontId="6" fillId="4" borderId="14" xfId="0" applyNumberFormat="1" applyFont="1" applyFill="1" applyBorder="1"/>
    <x:xf numFmtId="0" fontId="6" fillId="4" borderId="15" xfId="0" applyNumberFormat="1" applyFont="1" applyFill="1" applyBorder="1"/>
    <x:xf numFmtId="0" fontId="6" fillId="4" borderId="16" xfId="0" applyNumberFormat="1" applyFont="1" applyFill="1" applyBorder="1"/>
    <x:xf numFmtId="0" fontId="6" fillId="4" borderId="17" xfId="0" applyNumberFormat="1" applyFont="1" applyFill="1" applyBorder="1"/>
    <x:xf numFmtId="0" fontId="6" fillId="4" borderId="18" xfId="0" applyNumberFormat="1" applyFont="1" applyFill="1" applyBorder="1"/>
    <x:xf numFmtId="0" fontId="6" fillId="4" borderId="19" xfId="0" applyNumberFormat="1" applyFont="1" applyFill="1" applyBorder="1"/>
    <x:xf numFmtId="0" fontId="6" fillId="4" borderId="12" xfId="0" applyNumberFormat="1" applyFont="1" applyFill="1" applyBorder="1" applyAlignment="1">
      <x:alignment horizontal="center"/>
    </x:xf>
    <x:xf numFmtId="0" fontId="6" fillId="4" borderId="13" xfId="0" applyNumberFormat="1" applyFont="1" applyFill="1" applyBorder="1" applyAlignment="1">
      <x:alignment horizontal="center"/>
    </x:xf>
    <x:xf numFmtId="0" fontId="6" fillId="4" borderId="14" xfId="0" applyNumberFormat="1" applyFont="1" applyFill="1" applyBorder="1" applyAlignment="1">
      <x:alignment horizontal="center"/>
    </x:xf>
    <x:xf numFmtId="0" fontId="6" fillId="4" borderId="15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/>
    </x:xf>
    <x:xf numFmtId="0" fontId="6" fillId="4" borderId="16" xfId="0" applyNumberFormat="1" applyFont="1" applyFill="1" applyBorder="1" applyAlignment="1">
      <x:alignment horizontal="center"/>
    </x:xf>
    <x:xf numFmtId="0" fontId="6" fillId="4" borderId="17" xfId="0" applyNumberFormat="1" applyFont="1" applyFill="1" applyBorder="1" applyAlignment="1">
      <x:alignment horizontal="center"/>
    </x:xf>
    <x:xf numFmtId="0" fontId="6" fillId="4" borderId="18" xfId="0" applyNumberFormat="1" applyFont="1" applyFill="1" applyBorder="1" applyAlignment="1">
      <x:alignment horizontal="center"/>
    </x:xf>
    <x:xf numFmtId="0" fontId="6" fillId="4" borderId="19" xfId="0" applyNumberFormat="1" applyFont="1" applyFill="1" applyBorder="1" applyAlignment="1">
      <x:alignment horizontal="center"/>
    </x:xf>
    <x:xf numFmtId="0" fontId="6" fillId="4" borderId="12" xfId="0" applyNumberFormat="1" applyFont="1" applyFill="1" applyBorder="1" applyAlignment="1">
      <x:alignment horizontal="center" vertical="center"/>
    </x:xf>
    <x:xf numFmtId="0" fontId="6" fillId="4" borderId="13" xfId="0" applyNumberFormat="1" applyFont="1" applyFill="1" applyBorder="1" applyAlignment="1">
      <x:alignment horizontal="center" vertical="center"/>
    </x:xf>
    <x:xf numFmtId="0" fontId="6" fillId="4" borderId="14" xfId="0" applyNumberFormat="1" applyFont="1" applyFill="1" applyBorder="1" applyAlignment="1">
      <x:alignment horizontal="center" vertical="center"/>
    </x:xf>
    <x:xf numFmtId="0" fontId="6" fillId="4" borderId="15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16" xfId="0" applyNumberFormat="1" applyFont="1" applyFill="1" applyBorder="1" applyAlignment="1">
      <x:alignment horizontal="center" vertical="center"/>
    </x:xf>
    <x:xf numFmtId="0" fontId="6" fillId="4" borderId="17" xfId="0" applyNumberFormat="1" applyFont="1" applyFill="1" applyBorder="1" applyAlignment="1">
      <x:alignment horizontal="center" vertical="center"/>
    </x:xf>
    <x:xf numFmtId="0" fontId="6" fillId="4" borderId="18" xfId="0" applyNumberFormat="1" applyFont="1" applyFill="1" applyBorder="1" applyAlignment="1">
      <x:alignment horizontal="center" vertical="center"/>
    </x:xf>
    <x:xf numFmtId="0" fontId="6" fillId="4" borderId="19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20" xfId="0" applyNumberFormat="1" applyFont="1" applyFill="1" applyBorder="1"/>
    <x:xf numFmtId="0" fontId="7" fillId="3" borderId="20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0" fontId="4" fillId="4" borderId="7" xfId="0" applyNumberFormat="1" applyFont="1" applyFill="1" applyBorder="1" applyAlignment="1">
      <x:alignment vertical="center"/>
    </x:xf>
    <x:xf numFmtId="0" fontId="8" fillId="4" borderId="4" xfId="0" applyNumberFormat="1" applyFont="1" applyFill="1" applyBorder="1" applyAlignment="1">
      <x:alignment vertical="center"/>
    </x:xf>
    <x:xf numFmtId="0" fontId="8" fillId="4" borderId="7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left"/>
    </x:xf>
    <x:xf numFmtId="0" fontId="5" fillId="3" borderId="0" xfId="0" applyNumberFormat="1" applyFont="1" applyFill="1" applyBorder="1" applyAlignment="1">
      <x:alignment horizontal="left" vertical="center"/>
    </x:xf>
    <x:xf numFmtId="0" fontId="9" fillId="3" borderId="0" xfId="0" applyNumberFormat="1" applyFont="1" applyFill="1" applyBorder="1"/>
    <x:xf numFmtId="0" fontId="9" fillId="3" borderId="18" xfId="0" applyNumberFormat="1" applyFont="1" applyFill="1" applyBorder="1"/>
    <x:xf numFmtId="0" fontId="9" fillId="3" borderId="0" xfId="0" applyNumberFormat="1" applyFont="1" applyFill="1" applyBorder="1" applyAlignment="1">
      <x:alignment horizontal="left"/>
    </x:xf>
    <x:xf numFmtId="0" fontId="9" fillId="3" borderId="18" xfId="0" applyNumberFormat="1" applyFont="1" applyFill="1" applyBorder="1" applyAlignment="1">
      <x:alignment horizontal="left"/>
    </x:xf>
    <x:xf numFmtId="0" fontId="9" fillId="3" borderId="0" xfId="0" applyNumberFormat="1" applyFont="1" applyFill="1" applyBorder="1" applyAlignment="1">
      <x:alignment horizontal="left" vertical="center"/>
    </x:xf>
    <x:xf numFmtId="0" fontId="9" fillId="3" borderId="18" xfId="0" applyNumberFormat="1" applyFont="1" applyFill="1" applyBorder="1" applyAlignment="1">
      <x:alignment horizontal="left" vertical="center"/>
    </x:xf>
    <x:xf numFmtId="201" fontId="9" fillId="3" borderId="0" xfId="0" applyNumberFormat="1" applyFont="1" applyFill="1" applyBorder="1" applyAlignment="1">
      <x:alignment horizontal="left" vertical="center"/>
    </x:xf>
    <x:xf numFmtId="201" fontId="9" fillId="3" borderId="18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/>
    <x:xf numFmtId="0" fontId="10" fillId="3" borderId="18" xfId="0" applyNumberFormat="1" applyFont="1" applyFill="1" applyBorder="1"/>
    <x:xf numFmtId="0" fontId="10" fillId="3" borderId="18" xfId="0" applyNumberFormat="1" applyFont="1" applyFill="1" applyBorder="1" applyAlignment="1">
      <x:alignment wrapText="1"/>
    </x:xf>
    <x:xf numFmtId="0" fontId="10" fillId="3" borderId="18" xfId="0" applyNumberFormat="1" applyFont="1" applyFill="1" applyBorder="1" applyAlignment="1">
      <x:alignment horizontal="left" wrapText="1"/>
    </x:xf>
    <x:xf numFmtId="0" fontId="10" fillId="3" borderId="18" xfId="0" applyNumberFormat="1" applyFont="1" applyFill="1" applyBorder="1" applyAlignment="1">
      <x:alignment horizontal="left" vertical="center" wrapText="1"/>
    </x:xf>
    <x:xf numFmtId="0" fontId="5" fillId="3" borderId="12" xfId="0" applyNumberFormat="1" applyFont="1" applyFill="1" applyBorder="1" applyAlignment="1">
      <x:alignment horizontal="left" vertical="center"/>
    </x:xf>
    <x:xf numFmtId="0" fontId="5" fillId="3" borderId="13" xfId="0" applyNumberFormat="1" applyFont="1" applyFill="1" applyBorder="1" applyAlignment="1">
      <x:alignment horizontal="left" vertical="center"/>
    </x:xf>
    <x:xf numFmtId="0" fontId="5" fillId="3" borderId="14" xfId="0" applyNumberFormat="1" applyFont="1" applyFill="1" applyBorder="1" applyAlignment="1">
      <x:alignment horizontal="left" vertical="center"/>
    </x:xf>
    <x:xf numFmtId="201" fontId="9" fillId="3" borderId="15" xfId="0" applyNumberFormat="1" applyFont="1" applyFill="1" applyBorder="1" applyAlignment="1">
      <x:alignment horizontal="left" vertical="center"/>
    </x:xf>
    <x:xf numFmtId="201" fontId="9" fillId="3" borderId="16" xfId="0" applyNumberFormat="1" applyFont="1" applyFill="1" applyBorder="1" applyAlignment="1">
      <x:alignment horizontal="left" vertical="center"/>
    </x:xf>
    <x:xf numFmtId="201" fontId="9" fillId="3" borderId="17" xfId="0" applyNumberFormat="1" applyFont="1" applyFill="1" applyBorder="1" applyAlignment="1">
      <x:alignment horizontal="left" vertical="center"/>
    </x:xf>
    <x:xf numFmtId="201" fontId="9" fillId="3" borderId="19" xfId="0" applyNumberFormat="1" applyFont="1" applyFill="1" applyBorder="1" applyAlignment="1">
      <x:alignment horizontal="left" vertical="center"/>
    </x:xf>
    <x:xf numFmtId="0" fontId="10" fillId="3" borderId="17" xfId="0" applyNumberFormat="1" applyFont="1" applyFill="1" applyBorder="1" applyAlignment="1">
      <x:alignment horizontal="left" vertical="center" wrapText="1"/>
    </x:xf>
    <x:xf numFmtId="0" fontId="10" fillId="3" borderId="19" xfId="0" applyNumberFormat="1" applyFont="1" applyFill="1" applyBorder="1" applyAlignment="1">
      <x:alignment horizontal="left" vertical="center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5" fillId="4" borderId="0" xfId="0" applyNumberFormat="1" applyFont="1" applyFill="1" applyBorder="1" applyAlignment="1">
      <x:alignment horizontal="left" vertical="center"/>
    </x:xf>
    <x:xf numFmtId="0" fontId="9" fillId="4" borderId="0" xfId="0" applyNumberFormat="1" applyFont="1" applyFill="1" applyBorder="1"/>
    <x:xf numFmtId="0" fontId="9" fillId="4" borderId="18" xfId="0" applyNumberFormat="1" applyFont="1" applyFill="1" applyBorder="1"/>
    <x:xf numFmtId="0" fontId="9" fillId="4" borderId="0" xfId="0" applyNumberFormat="1" applyFont="1" applyFill="1" applyBorder="1" applyAlignment="1">
      <x:alignment horizontal="left"/>
    </x:xf>
    <x:xf numFmtId="0" fontId="9" fillId="4" borderId="18" xfId="0" applyNumberFormat="1" applyFont="1" applyFill="1" applyBorder="1" applyAlignment="1">
      <x:alignment horizontal="left"/>
    </x:xf>
    <x:xf numFmtId="0" fontId="9" fillId="4" borderId="0" xfId="0" applyNumberFormat="1" applyFont="1" applyFill="1" applyBorder="1" applyAlignment="1">
      <x:alignment horizontal="left" vertical="center"/>
    </x:xf>
    <x:xf numFmtId="0" fontId="9" fillId="4" borderId="18" xfId="0" applyNumberFormat="1" applyFont="1" applyFill="1" applyBorder="1" applyAlignment="1">
      <x:alignment horizontal="left" vertical="center"/>
    </x:xf>
    <x:xf numFmtId="204" fontId="9" fillId="4" borderId="0" xfId="0" applyNumberFormat="1" applyFont="1" applyFill="1" applyBorder="1" applyAlignment="1">
      <x:alignment horizontal="left" vertical="center"/>
    </x:xf>
    <x:xf numFmtId="204" fontId="9" fillId="4" borderId="18" xfId="0" applyNumberFormat="1" applyFont="1" applyFill="1" applyBorder="1" applyAlignment="1">
      <x:alignment horizontal="left" vertical="center"/>
    </x:xf>
    <x:xf numFmtId="0" fontId="10" fillId="4" borderId="0" xfId="0" applyNumberFormat="1" applyFont="1" applyFill="1" applyBorder="1"/>
    <x:xf numFmtId="0" fontId="10" fillId="4" borderId="18" xfId="0" applyNumberFormat="1" applyFont="1" applyFill="1" applyBorder="1"/>
    <x:xf numFmtId="0" fontId="10" fillId="4" borderId="18" xfId="0" applyNumberFormat="1" applyFont="1" applyFill="1" applyBorder="1" applyAlignment="1">
      <x:alignment wrapText="1"/>
    </x:xf>
    <x:xf numFmtId="0" fontId="10" fillId="4" borderId="18" xfId="0" applyNumberFormat="1" applyFont="1" applyFill="1" applyBorder="1" applyAlignment="1">
      <x:alignment horizontal="left" wrapText="1"/>
    </x:xf>
    <x:xf numFmtId="0" fontId="10" fillId="4" borderId="18" xfId="0" applyNumberFormat="1" applyFont="1" applyFill="1" applyBorder="1" applyAlignment="1">
      <x:alignment horizontal="left" vertical="center" wrapText="1"/>
    </x:xf>
    <x:xf numFmtId="0" fontId="5" fillId="4" borderId="12" xfId="0" applyNumberFormat="1" applyFont="1" applyFill="1" applyBorder="1" applyAlignment="1">
      <x:alignment horizontal="left" vertical="center"/>
    </x:xf>
    <x:xf numFmtId="0" fontId="5" fillId="4" borderId="13" xfId="0" applyNumberFormat="1" applyFont="1" applyFill="1" applyBorder="1" applyAlignment="1">
      <x:alignment horizontal="left" vertical="center"/>
    </x:xf>
    <x:xf numFmtId="0" fontId="5" fillId="4" borderId="14" xfId="0" applyNumberFormat="1" applyFont="1" applyFill="1" applyBorder="1" applyAlignment="1">
      <x:alignment horizontal="left" vertical="center"/>
    </x:xf>
    <x:xf numFmtId="204" fontId="9" fillId="4" borderId="15" xfId="0" applyNumberFormat="1" applyFont="1" applyFill="1" applyBorder="1" applyAlignment="1">
      <x:alignment horizontal="left" vertical="center"/>
    </x:xf>
    <x:xf numFmtId="204" fontId="9" fillId="4" borderId="16" xfId="0" applyNumberFormat="1" applyFont="1" applyFill="1" applyBorder="1" applyAlignment="1">
      <x:alignment horizontal="left" vertical="center"/>
    </x:xf>
    <x:xf numFmtId="204" fontId="9" fillId="4" borderId="17" xfId="0" applyNumberFormat="1" applyFont="1" applyFill="1" applyBorder="1" applyAlignment="1">
      <x:alignment horizontal="left" vertical="center"/>
    </x:xf>
    <x:xf numFmtId="204" fontId="9" fillId="4" borderId="19" xfId="0" applyNumberFormat="1" applyFont="1" applyFill="1" applyBorder="1" applyAlignment="1">
      <x:alignment horizontal="left" vertical="center"/>
    </x:xf>
    <x:xf numFmtId="0" fontId="10" fillId="4" borderId="17" xfId="0" applyNumberFormat="1" applyFont="1" applyFill="1" applyBorder="1" applyAlignment="1">
      <x:alignment horizontal="left" vertical="center" wrapText="1"/>
    </x:xf>
    <x:xf numFmtId="0" fontId="10" fillId="4" borderId="19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horizontal="left" vertical="center"/>
    </x:xf>
    <x:xf numFmtId="0" fontId="9" fillId="5" borderId="0" xfId="0" applyNumberFormat="1" applyFont="1" applyFill="1" applyBorder="1"/>
    <x:xf numFmtId="0" fontId="9" fillId="5" borderId="18" xfId="0" applyNumberFormat="1" applyFont="1" applyFill="1" applyBorder="1"/>
    <x:xf numFmtId="0" fontId="9" fillId="5" borderId="0" xfId="0" applyNumberFormat="1" applyFont="1" applyFill="1" applyBorder="1" applyAlignment="1">
      <x:alignment horizontal="left"/>
    </x:xf>
    <x:xf numFmtId="0" fontId="9" fillId="5" borderId="18" xfId="0" applyNumberFormat="1" applyFont="1" applyFill="1" applyBorder="1" applyAlignment="1">
      <x:alignment horizontal="left"/>
    </x:xf>
    <x:xf numFmtId="0" fontId="9" fillId="5" borderId="0" xfId="0" applyNumberFormat="1" applyFont="1" applyFill="1" applyBorder="1" applyAlignment="1">
      <x:alignment horizontal="left" vertical="center"/>
    </x:xf>
    <x:xf numFmtId="0" fontId="9" fillId="5" borderId="18" xfId="0" applyNumberFormat="1" applyFont="1" applyFill="1" applyBorder="1" applyAlignment="1">
      <x:alignment horizontal="left" vertical="center"/>
    </x:xf>
    <x:xf numFmtId="201" fontId="9" fillId="5" borderId="0" xfId="0" applyNumberFormat="1" applyFont="1" applyFill="1" applyBorder="1" applyAlignment="1">
      <x:alignment horizontal="left" vertical="center"/>
    </x:xf>
    <x:xf numFmtId="201" fontId="9" fillId="5" borderId="18" xfId="0" applyNumberFormat="1" applyFont="1" applyFill="1" applyBorder="1" applyAlignment="1">
      <x:alignment horizontal="left" vertical="center"/>
    </x:xf>
    <x:xf numFmtId="0" fontId="10" fillId="5" borderId="0" xfId="0" applyNumberFormat="1" applyFont="1" applyFill="1" applyBorder="1"/>
    <x:xf numFmtId="0" fontId="10" fillId="5" borderId="18" xfId="0" applyNumberFormat="1" applyFont="1" applyFill="1" applyBorder="1"/>
    <x:xf numFmtId="0" fontId="10" fillId="5" borderId="18" xfId="0" applyNumberFormat="1" applyFont="1" applyFill="1" applyBorder="1" applyAlignment="1">
      <x:alignment wrapText="1"/>
    </x:xf>
    <x:xf numFmtId="0" fontId="10" fillId="5" borderId="18" xfId="0" applyNumberFormat="1" applyFont="1" applyFill="1" applyBorder="1" applyAlignment="1">
      <x:alignment horizontal="left" wrapText="1"/>
    </x:xf>
    <x:xf numFmtId="0" fontId="10" fillId="5" borderId="18" xfId="0" applyNumberFormat="1" applyFont="1" applyFill="1" applyBorder="1" applyAlignment="1">
      <x:alignment horizontal="left" vertical="center" wrapText="1"/>
    </x:xf>
    <x:xf numFmtId="0" fontId="5" fillId="5" borderId="12" xfId="0" applyNumberFormat="1" applyFont="1" applyFill="1" applyBorder="1" applyAlignment="1">
      <x:alignment horizontal="left" vertical="center"/>
    </x:xf>
    <x:xf numFmtId="0" fontId="5" fillId="5" borderId="13" xfId="0" applyNumberFormat="1" applyFont="1" applyFill="1" applyBorder="1" applyAlignment="1">
      <x:alignment horizontal="left" vertical="center"/>
    </x:xf>
    <x:xf numFmtId="0" fontId="5" fillId="5" borderId="14" xfId="0" applyNumberFormat="1" applyFont="1" applyFill="1" applyBorder="1" applyAlignment="1">
      <x:alignment horizontal="left" vertical="center"/>
    </x:xf>
    <x:xf numFmtId="201" fontId="9" fillId="5" borderId="15" xfId="0" applyNumberFormat="1" applyFont="1" applyFill="1" applyBorder="1" applyAlignment="1">
      <x:alignment horizontal="left" vertical="center"/>
    </x:xf>
    <x:xf numFmtId="201" fontId="9" fillId="5" borderId="16" xfId="0" applyNumberFormat="1" applyFont="1" applyFill="1" applyBorder="1" applyAlignment="1">
      <x:alignment horizontal="left" vertical="center"/>
    </x:xf>
    <x:xf numFmtId="201" fontId="9" fillId="5" borderId="17" xfId="0" applyNumberFormat="1" applyFont="1" applyFill="1" applyBorder="1" applyAlignment="1">
      <x:alignment horizontal="left" vertical="center"/>
    </x:xf>
    <x:xf numFmtId="201" fontId="9" fillId="5" borderId="19" xfId="0" applyNumberFormat="1" applyFont="1" applyFill="1" applyBorder="1" applyAlignment="1">
      <x:alignment horizontal="left" vertical="center"/>
    </x:xf>
    <x:xf numFmtId="0" fontId="10" fillId="5" borderId="17" xfId="0" applyNumberFormat="1" applyFont="1" applyFill="1" applyBorder="1" applyAlignment="1">
      <x:alignment horizontal="left" vertical="center" wrapText="1"/>
    </x:xf>
    <x:xf numFmtId="0" fontId="10" fillId="5" borderId="19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left" vertical="center"/>
    </x:xf>
    <x:xf numFmtId="0" fontId="9" fillId="6" borderId="0" xfId="0" applyNumberFormat="1" applyFont="1" applyFill="1" applyBorder="1"/>
    <x:xf numFmtId="0" fontId="9" fillId="6" borderId="18" xfId="0" applyNumberFormat="1" applyFont="1" applyFill="1" applyBorder="1"/>
    <x:xf numFmtId="0" fontId="9" fillId="6" borderId="0" xfId="0" applyNumberFormat="1" applyFont="1" applyFill="1" applyBorder="1" applyAlignment="1">
      <x:alignment horizontal="left"/>
    </x:xf>
    <x:xf numFmtId="0" fontId="9" fillId="6" borderId="18" xfId="0" applyNumberFormat="1" applyFont="1" applyFill="1" applyBorder="1" applyAlignment="1">
      <x:alignment horizontal="left"/>
    </x:xf>
    <x:xf numFmtId="0" fontId="9" fillId="6" borderId="0" xfId="0" applyNumberFormat="1" applyFont="1" applyFill="1" applyBorder="1" applyAlignment="1">
      <x:alignment horizontal="left" vertical="center"/>
    </x:xf>
    <x:xf numFmtId="0" fontId="9" fillId="6" borderId="18" xfId="0" applyNumberFormat="1" applyFont="1" applyFill="1" applyBorder="1" applyAlignment="1">
      <x:alignment horizontal="left" vertical="center"/>
    </x:xf>
    <x:xf numFmtId="201" fontId="9" fillId="6" borderId="0" xfId="0" applyNumberFormat="1" applyFont="1" applyFill="1" applyBorder="1" applyAlignment="1">
      <x:alignment horizontal="left" vertical="center"/>
    </x:xf>
    <x:xf numFmtId="201" fontId="9" fillId="6" borderId="18" xfId="0" applyNumberFormat="1" applyFont="1" applyFill="1" applyBorder="1" applyAlignment="1">
      <x:alignment horizontal="left" vertical="center"/>
    </x:xf>
    <x:xf numFmtId="0" fontId="10" fillId="6" borderId="0" xfId="0" applyNumberFormat="1" applyFont="1" applyFill="1" applyBorder="1"/>
    <x:xf numFmtId="0" fontId="10" fillId="6" borderId="18" xfId="0" applyNumberFormat="1" applyFont="1" applyFill="1" applyBorder="1"/>
    <x:xf numFmtId="0" fontId="10" fillId="6" borderId="18" xfId="0" applyNumberFormat="1" applyFont="1" applyFill="1" applyBorder="1" applyAlignment="1">
      <x:alignment wrapText="1"/>
    </x:xf>
    <x:xf numFmtId="0" fontId="10" fillId="6" borderId="18" xfId="0" applyNumberFormat="1" applyFont="1" applyFill="1" applyBorder="1" applyAlignment="1">
      <x:alignment horizontal="left" wrapText="1"/>
    </x:xf>
    <x:xf numFmtId="0" fontId="10" fillId="6" borderId="18" xfId="0" applyNumberFormat="1" applyFont="1" applyFill="1" applyBorder="1" applyAlignment="1">
      <x:alignment horizontal="left" vertical="center" wrapText="1"/>
    </x:xf>
    <x:xf numFmtId="0" fontId="5" fillId="6" borderId="12" xfId="0" applyNumberFormat="1" applyFont="1" applyFill="1" applyBorder="1" applyAlignment="1">
      <x:alignment horizontal="left" vertical="center"/>
    </x:xf>
    <x:xf numFmtId="0" fontId="5" fillId="6" borderId="13" xfId="0" applyNumberFormat="1" applyFont="1" applyFill="1" applyBorder="1" applyAlignment="1">
      <x:alignment horizontal="left" vertical="center"/>
    </x:xf>
    <x:xf numFmtId="0" fontId="5" fillId="6" borderId="14" xfId="0" applyNumberFormat="1" applyFont="1" applyFill="1" applyBorder="1" applyAlignment="1">
      <x:alignment horizontal="left" vertical="center"/>
    </x:xf>
    <x:xf numFmtId="201" fontId="9" fillId="6" borderId="15" xfId="0" applyNumberFormat="1" applyFont="1" applyFill="1" applyBorder="1" applyAlignment="1">
      <x:alignment horizontal="left" vertical="center"/>
    </x:xf>
    <x:xf numFmtId="201" fontId="9" fillId="6" borderId="16" xfId="0" applyNumberFormat="1" applyFont="1" applyFill="1" applyBorder="1" applyAlignment="1">
      <x:alignment horizontal="left" vertical="center"/>
    </x:xf>
    <x:xf numFmtId="201" fontId="9" fillId="6" borderId="17" xfId="0" applyNumberFormat="1" applyFont="1" applyFill="1" applyBorder="1" applyAlignment="1">
      <x:alignment horizontal="left" vertical="center"/>
    </x:xf>
    <x:xf numFmtId="201" fontId="9" fillId="6" borderId="19" xfId="0" applyNumberFormat="1" applyFont="1" applyFill="1" applyBorder="1" applyAlignment="1">
      <x:alignment horizontal="left" vertical="center"/>
    </x:xf>
    <x:xf numFmtId="0" fontId="10" fillId="6" borderId="17" xfId="0" applyNumberFormat="1" applyFont="1" applyFill="1" applyBorder="1" applyAlignment="1">
      <x:alignment horizontal="left" vertical="center" wrapText="1"/>
    </x:xf>
    <x:xf numFmtId="0" fontId="10" fillId="6" borderId="19" xfId="0" applyNumberFormat="1" applyFont="1" applyFill="1" applyBorder="1" applyAlignment="1">
      <x:alignment horizontal="left" vertical="center" wrapText="1"/>
    </x:xf>
    <x:xf numFmtId="202" fontId="4" fillId="0" borderId="6" xfId="0" applyNumberFormat="1" applyFont="1" applyFill="1" applyBorder="1" applyAlignment="1">
      <x:alignment vertical="center"/>
    </x:xf>
    <x:xf numFmtId="202" fontId="4" fillId="0" borderId="9" xfId="0" applyNumberFormat="1" applyFont="1" applyFill="1" applyBorder="1" applyAlignment="1">
      <x:alignment vertical="center"/>
    </x:xf>
    <x:xf numFmtId="0" fontId="8" fillId="0" borderId="4" xfId="0" applyNumberFormat="1" applyFont="1" applyFill="1" applyBorder="1" applyAlignment="1">
      <x:alignment vertical="center"/>
    </x:xf>
    <x:xf numFmtId="0" fontId="8" fillId="0" borderId="7" xfId="0" applyNumberFormat="1" applyFont="1" applyFill="1" applyBorder="1" applyAlignment="1">
      <x:alignment vertical="center"/>
    </x:xf>
    <x:xf numFmtId="205" fontId="4" fillId="0" borderId="5" xfId="0" applyNumberFormat="1" applyFont="1" applyFill="1" applyBorder="1" applyAlignment="1">
      <x:alignment vertical="center"/>
    </x:xf>
    <x:xf numFmtId="206" fontId="4" fillId="0" borderId="5" xfId="0" applyNumberFormat="1" applyFont="1" applyFill="1" applyBorder="1" applyAlignment="1">
      <x:alignment vertical="center"/>
    </x:xf>
    <x:xf numFmtId="206" fontId="4" fillId="0" borderId="8" xfId="0" applyNumberFormat="1" applyFont="1" applyFill="1" applyBorder="1" applyAlignment="1">
      <x:alignment vertical="center"/>
    </x:xf>
    <x:xf numFmtId="0" fontId="8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8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 applyAlignment="1">
      <x:alignment vertical="center" wrapText="1"/>
    </x:xf>
    <x:xf numFmtId="0" fontId="11" fillId="6" borderId="9" xfId="0" applyNumberFormat="1" applyFont="1" applyFill="1" applyBorder="1" applyAlignment="1">
      <x:alignment vertical="center" wrapText="1"/>
    </x:xf>
    <x:xf numFmtId="0" fontId="12" fillId="0" borderId="4" xfId="0" applyNumberFormat="1" applyFont="1" applyFill="1" applyBorder="1" applyAlignment="1">
      <x:alignment vertical="center"/>
    </x:xf>
    <x:xf numFmtId="0" fontId="12" fillId="0" borderId="7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color rgb="FFDC2626"/>
      </x:font>
    </x:dxf>
    <x:dxf>
      <x:font>
        <x:color rgb="FF059669"/>
      </x:font>
    </x:dxf>
    <x:dxf>
      <x:font>
        <x:b/>
        <x:color rgb="FF059669"/>
      </x:font>
      <x:fill>
        <x:patternFill patternType="solid">
          <x:bgColor rgb="FFECFD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f34f63caad4910" /><Relationship Type="http://schemas.openxmlformats.org/officeDocument/2006/relationships/theme" Target="/xl/theme/theme1.xml" Id="R7f67ca6d7bb24133" /><Relationship Type="http://schemas.openxmlformats.org/officeDocument/2006/relationships/sharedStrings" Target="/xl/sharedStrings.xml" Id="R2596d9311e9844d2" /><Relationship Type="http://schemas.openxmlformats.org/officeDocument/2006/relationships/worksheet" Target="/xl/worksheets/sheet1.xml" Id="R9b9412adbffe4c8f" /><Relationship Type="http://schemas.openxmlformats.org/officeDocument/2006/relationships/worksheet" Target="/xl/worksheets/sheet2.xml" Id="Rde223e531ea4457b" /><Relationship Type="http://schemas.openxmlformats.org/officeDocument/2006/relationships/worksheet" Target="/xl/worksheets/sheet3.xml" Id="R6021e5670fd74cdc" /><Relationship Type="http://schemas.openxmlformats.org/officeDocument/2006/relationships/worksheet" Target="/xl/worksheets/sheet4.xml" Id="Rad83f56c5db64b30" /><Relationship Type="http://schemas.openxmlformats.org/officeDocument/2006/relationships/worksheet" Target="/xl/worksheets/sheet5.xml" Id="Rdd7e395dddfc45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7411043eeab426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App 启动用户数日趋势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用户数</c:v>
          </c:tx>
          <c:marker>
            <c:symbol val="none"/>
          </c:marker>
          <c:cat>
            <c:strRef>
              <c:f>'01_关键结果'!$A$12:$A$18</c:f>
              <c:strCache>
                <c:ptCount val="0"/>
              </c:strCache>
            </c:strRef>
          </c:cat>
          <c:val>
            <c:numRef>
              <c:f>'01_关键结果'!$B$12:$B$18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411043eeab426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e8625d3c9b24c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6" hidden="0" customWidth="1"/>
    <x:col min="3" max="3" width="4" hidden="0" customWidth="1"/>
    <x:col min="4" max="4" width="22" hidden="0" customWidth="1"/>
    <x:col min="5" max="5" width="40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4" t="str">
        <x:v>App 启动用户数｜导出说明</x:v>
      </x:c>
      <x:c r="B1" s="4"/>
      <x:c r="C1" s="4"/>
      <x:c r="D1" s="4"/>
      <x:c r="E1" s="4"/>
      <x:c r="F1" s="4"/>
      <x:c r="G1" s="4"/>
      <x:c r="H1" s="4"/>
    </x:row>
    <x:row r="2" ht="28" customHeight="1">
      <x:c r="A2" s="9" t="str">
        <x:v>本页记录本次分析快照和工作簿内容，缺失元数据不推测补齐。</x:v>
      </x:c>
      <x:c r="B2" s="9"/>
      <x:c r="C2" s="9"/>
      <x:c r="D2" s="9"/>
      <x:c r="E2" s="9"/>
      <x:c r="F2" s="9"/>
      <x:c r="G2" s="9"/>
      <x:c r="H2" s="9"/>
    </x:row>
    <x:row r="4" ht="24" customHeight="1">
      <x:c r="A4" s="86" t="str">
        <x:v>查询与数据快照</x:v>
      </x:c>
      <x:c r="B4" s="86"/>
    </x:row>
    <x:row r="5" ht="23" customHeight="1">
      <x:c r="A5" s="89" t="str">
        <x:v>分析名称</x:v>
      </x:c>
      <x:c r="B5" s="91" t="str">
        <x:v>App 启动用户数趋势</x:v>
      </x:c>
    </x:row>
    <x:row r="6" ht="23" customHeight="1">
      <x:c r="A6" s="90" t="str">
        <x:v>分析类型</x:v>
      </x:c>
      <x:c r="B6" s="92" t="str">
        <x:v>指标分析示例</x:v>
      </x:c>
    </x:row>
    <x:row r="7" ht="23" customHeight="1">
      <x:c r="A7" s="90" t="str">
        <x:v>统计对象</x:v>
      </x:c>
      <x:c r="B7" s="92" t="str">
        <x:v>App 启动的用户数</x:v>
      </x:c>
    </x:row>
    <x:row r="8" ht="23" customHeight="1">
      <x:c r="A8" s="90" t="str">
        <x:v>时间范围</x:v>
      </x:c>
      <x:c r="B8" s="92" t="str">
        <x:v>2026-08-26 至 2026-09-01</x:v>
      </x:c>
    </x:row>
    <x:row r="9" ht="23" customHeight="1">
      <x:c r="A9" s="90" t="str">
        <x:v>时间粒度</x:v>
      </x:c>
      <x:c r="B9" s="92" t="str">
        <x:v>按日</x:v>
      </x:c>
    </x:row>
    <x:row r="10" ht="23" customHeight="1">
      <x:c r="A10" s="90" t="str">
        <x:v>维度</x:v>
      </x:c>
      <x:c r="B10" s="92" t="str">
        <x:v>未选择</x:v>
      </x:c>
    </x:row>
    <x:row r="11" ht="23" customHeight="1">
      <x:c r="A11" s="90" t="str">
        <x:v>筛选条件</x:v>
      </x:c>
      <x:c r="B11" s="207" t="str">
        <x:v>源文件未携带</x:v>
      </x:c>
    </x:row>
    <x:row r="12" ht="23" customHeight="1">
      <x:c r="A12" s="90" t="str">
        <x:v>对比条件</x:v>
      </x:c>
      <x:c r="B12" s="207" t="str">
        <x:v>未设置；工作簿补充逐日环比</x:v>
      </x:c>
    </x:row>
    <x:row r="13" ht="23" customHeight="1">
      <x:c r="A13" s="90" t="str">
        <x:v>时区</x:v>
      </x:c>
      <x:c r="B13" s="207" t="str">
        <x:v>源文件未携带</x:v>
      </x:c>
    </x:row>
    <x:row r="14" ht="23" customHeight="1">
      <x:c r="A14" s="90" t="str">
        <x:v>数据更新时间</x:v>
      </x:c>
      <x:c r="B14" s="207" t="str">
        <x:v>源文件未携带</x:v>
      </x:c>
    </x:row>
    <x:row r="15" ht="23" customHeight="1">
      <x:c r="A15" s="90" t="str">
        <x:v>示例生成时间</x:v>
      </x:c>
      <x:c r="B15" s="92" t="str">
        <x:v>2026/09/02 16:31:56（Asia/Shanghai）</x:v>
      </x:c>
    </x:row>
    <x:row r="16" ht="23" customHeight="1">
      <x:c r="A16" s="90" t="str">
        <x:v>源文件</x:v>
      </x:c>
      <x:c r="B16" s="92" t="str">
        <x:v>App启动的用户数_事件分析_2026-08-26至2026-09-01_SensorsAnalytics.xlsx</x:v>
      </x:c>
    </x:row>
    <x:row r="17" ht="23" customHeight="1">
      <x:c r="A17" s="90" t="str">
        <x:v>数据层级</x:v>
      </x:c>
      <x:c r="B17" s="92" t="str">
        <x:v>每日聚合用户数</x:v>
      </x:c>
    </x:row>
    <x:row r="18" ht="23" customHeight="1">
      <x:c r="A18" s="90" t="str">
        <x:v>原始明细</x:v>
      </x:c>
      <x:c r="B18" s="92" t="str">
        <x:v>未包含；本工作簿只使用真实聚合结果</x:v>
      </x:c>
    </x:row>
    <x:row r="21" ht="24" customHeight="1">
      <x:c r="A21" s="86" t="str">
        <x:v>工作簿结构</x:v>
      </x:c>
      <x:c r="B21" s="86"/>
      <x:c r="C21" s="86"/>
      <x:c r="D21" s="86"/>
    </x:row>
    <x:row r="22" ht="28" customHeight="1">
      <x:c r="A22" s="20" t="str">
        <x:v>Sheet</x:v>
      </x:c>
      <x:c r="B22" s="21" t="str">
        <x:v>内容</x:v>
      </x:c>
      <x:c r="C22" s="21" t="str">
        <x:v>结果层级</x:v>
      </x:c>
      <x:c r="D22" s="22" t="str">
        <x:v>是否含加工</x:v>
      </x:c>
    </x:row>
    <x:row r="23" ht="22" customHeight="1">
      <x:c r="A23" s="208" t="str">
        <x:v>01_关键结果</x:v>
      </x:c>
      <x:c r="B23" s="31" t="str">
        <x:v>合计、日均、峰值、最新日、变化与波动</x:v>
      </x:c>
      <x:c r="C23" s="31" t="str">
        <x:v>聚合</x:v>
      </x:c>
      <x:c r="D23" s="32" t="str">
        <x:v>是</x:v>
      </x:c>
    </x:row>
    <x:row r="24" ht="22" customHeight="1">
      <x:c r="A24" s="209" t="str">
        <x:v>02_趋势明细</x:v>
      </x:c>
      <x:c r="B24" s="34" t="str">
        <x:v>每日真实聚合值及逐日变化</x:v>
      </x:c>
      <x:c r="C24" s="34" t="str">
        <x:v>聚合明细</x:v>
      </x:c>
      <x:c r="D24" s="35" t="str">
        <x:v>环比、相对均值</x:v>
      </x:c>
    </x:row>
    <x:row r="25" ht="22" customHeight="1">
      <x:c r="A25" s="209" t="str">
        <x:v>03_维度拆解</x:v>
      </x:c>
      <x:c r="B25" s="34" t="str">
        <x:v>无真实维度时的透明空状态</x:v>
      </x:c>
      <x:c r="C25" s="34" t="str">
        <x:v>无结果</x:v>
      </x:c>
      <x:c r="D25" s="35" t="str">
        <x:v>否</x:v>
      </x:c>
    </x:row>
    <x:row r="26" ht="22" customHeight="1">
      <x:c r="A26" s="209" t="str">
        <x:v>04_异常与限制</x:v>
      </x:c>
      <x:c r="B26" s="34" t="str">
        <x:v>数值核对和解释边界</x:v>
      </x:c>
      <x:c r="C26" s="34" t="str">
        <x:v>质量说明</x:v>
      </x:c>
      <x:c r="D26" s="35" t="str">
        <x:v>是</x:v>
      </x:c>
    </x:row>
    <x:row r="28" ht="24" customHeight="1">
      <x:c r="A28" s="86" t="str">
        <x:v>标识说明</x:v>
      </x:c>
      <x:c r="B28" s="86"/>
      <x:c r="C28" s="86"/>
      <x:c r="D28" s="86"/>
    </x:row>
    <x:row r="29">
      <x:c r="A29" s="197" t="str">
        <x:v>源结果</x:v>
      </x:c>
      <x:c r="B29" s="31" t="str">
        <x:v>从神策导出文件读取的真实聚合值</x:v>
      </x:c>
      <x:c r="C29" s="31" t="str">
        <x:v>不改变统计口径</x:v>
      </x:c>
      <x:c r="D29" s="32" t="str"/>
    </x:row>
    <x:row r="30">
      <x:c r="A30" s="198" t="str">
        <x:v>派生加工</x:v>
      </x:c>
      <x:c r="B30" s="34" t="str">
        <x:v>由工作簿公式计算的占比、排名、变化等</x:v>
      </x:c>
      <x:c r="C30" s="34" t="str">
        <x:v>用于减少二次计算</x:v>
      </x:c>
      <x:c r="D30" s="35" t="str"/>
    </x:row>
    <x:row r="31">
      <x:c r="A31" s="198" t="str">
        <x:v>缺失元数据</x:v>
      </x:c>
      <x:c r="B31" s="34" t="str">
        <x:v>源文件没有携带的信息</x:v>
      </x:c>
      <x:c r="C31" s="34" t="str">
        <x:v>明确标注，不推测</x:v>
      </x:c>
      <x:c r="D31" s="35" t="str"/>
    </x:row>
  </x:sheetData>
  <x:mergeCells>
    <x:mergeCell ref="A1:H1"/>
    <x:mergeCell ref="A2:H2"/>
    <x:mergeCell ref="A4:B4"/>
    <x:mergeCell ref="A21:D21"/>
    <x:mergeCell ref="A28:D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4" customHeight="1">
      <x:c r="A1" s="4" t="str">
        <x:v>App 启动用户数｜关键结果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8" customHeight="1">
      <x:c r="A2" s="9" t="str">
        <x:v>数值来自真实导出；环比、波动幅度和峰谷日期由公式派生。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4">
      <x:c r="A4" s="109" t="str">
        <x:v>日期序列合计</x:v>
      </x:c>
      <x:c r="B4" s="110" t="str">
        <x:v>日期序列合计</x:v>
      </x:c>
      <x:c r="C4" s="111" t="str">
        <x:v>日期序列合计</x:v>
      </x:c>
      <x:c r="D4" s="134" t="str">
        <x:v>日均用户数</x:v>
      </x:c>
      <x:c r="E4" s="135" t="str">
        <x:v>日均用户数</x:v>
      </x:c>
      <x:c r="F4" s="136" t="str">
        <x:v>日均用户数</x:v>
      </x:c>
      <x:c r="G4" s="160" t="str">
        <x:v>单日峰值</x:v>
      </x:c>
      <x:c r="H4" s="161" t="str">
        <x:v>单日峰值</x:v>
      </x:c>
      <x:c r="I4" s="162" t="str">
        <x:v>单日峰值</x:v>
      </x:c>
      <x:c r="J4" s="186" t="str">
        <x:v>最新日用户数</x:v>
      </x:c>
      <x:c r="K4" s="187" t="str">
        <x:v>最新日用户数</x:v>
      </x:c>
      <x:c r="L4" s="188" t="str">
        <x:v>最新日用户数</x:v>
      </x:c>
    </x:row>
    <x:row r="5">
      <x:c r="A5" s="112" t="n">
        <x:f>SUM('02_趋势明细'!$B$5:$B$11)</x:f>
        <x:v>3585</x:v>
      </x:c>
      <x:c r="B5" s="102"/>
      <x:c r="C5" s="113"/>
      <x:c r="D5" s="137" t="n">
        <x:f>AVERAGE('02_趋势明细'!$B$5:$B$11)</x:f>
        <x:v>512.1428571428571</x:v>
      </x:c>
      <x:c r="E5" s="127"/>
      <x:c r="F5" s="138"/>
      <x:c r="G5" s="163" t="n">
        <x:f>MAX('02_趋势明细'!$B$5:$B$11)</x:f>
        <x:v>551</x:v>
      </x:c>
      <x:c r="H5" s="153"/>
      <x:c r="I5" s="164"/>
      <x:c r="J5" s="189" t="n">
        <x:f>'02_趋势明细'!$B$11</x:f>
        <x:v>500</x:v>
      </x:c>
      <x:c r="K5" s="179"/>
      <x:c r="L5" s="190"/>
    </x:row>
    <x:row r="6">
      <x:c r="A6" s="112"/>
      <x:c r="B6" s="102"/>
      <x:c r="C6" s="113"/>
      <x:c r="D6" s="137"/>
      <x:c r="E6" s="127"/>
      <x:c r="F6" s="138"/>
      <x:c r="G6" s="163"/>
      <x:c r="H6" s="153"/>
      <x:c r="I6" s="164"/>
      <x:c r="J6" s="189"/>
      <x:c r="K6" s="179"/>
      <x:c r="L6" s="190"/>
    </x:row>
    <x:row r="7">
      <x:c r="A7" s="114"/>
      <x:c r="B7" s="103"/>
      <x:c r="C7" s="115"/>
      <x:c r="D7" s="139"/>
      <x:c r="E7" s="128"/>
      <x:c r="F7" s="140"/>
      <x:c r="G7" s="165"/>
      <x:c r="H7" s="154"/>
      <x:c r="I7" s="166"/>
      <x:c r="J7" s="191"/>
      <x:c r="K7" s="180"/>
      <x:c r="L7" s="192"/>
    </x:row>
    <x:row r="8">
      <x:c r="A8" s="116" t="str">
        <x:v>7 个日值求和，不是周期去重用户数</x:v>
      </x:c>
      <x:c r="B8" s="108" t="str">
        <x:v>7 个日值求和，不是周期去重用户数</x:v>
      </x:c>
      <x:c r="C8" s="117" t="str">
        <x:v>7 个日值求和，不是周期去重用户数</x:v>
      </x:c>
      <x:c r="D8" s="141" t="str">
        <x:v>源文件均值：512.143</x:v>
      </x:c>
      <x:c r="E8" s="133" t="str">
        <x:v>源文件均值：512.143</x:v>
      </x:c>
      <x:c r="F8" s="142" t="str">
        <x:v>源文件均值：512.143</x:v>
      </x:c>
      <x:c r="G8" s="167" t="str">
        <x:f>TEXT(INDEX('02_趋势明细'!$A$5:$A$11,MATCH(MAX('02_趋势明细'!$B$5:$B$11),'02_趋势明细'!$B$5:$B$11,0)),"yyyy-mm-dd")</x:f>
        <x:v>2026-08-28</x:v>
      </x:c>
      <x:c r="H8" s="159"/>
      <x:c r="I8" s="168"/>
      <x:c r="J8" s="193" t="str">
        <x:f>TEXT('02_趋势明细'!$A$11,"yyyy-mm-dd")&amp;"；较前日 "&amp;TEXT('02_趋势明细'!$D$11,"0.00%")</x:f>
        <x:v>2026-09-01；较前日 -2.72%</x:v>
      </x:c>
      <x:c r="K8" s="185"/>
      <x:c r="L8" s="194"/>
    </x:row>
    <x:row r="11" ht="28" customHeight="1">
      <x:c r="A11" s="20" t="str">
        <x:v>日期</x:v>
      </x:c>
      <x:c r="B11" s="21" t="str">
        <x:v>用户数</x:v>
      </x:c>
      <x:c r="C11" s="22" t="str">
        <x:v>较前日变化率</x:v>
      </x:c>
    </x:row>
    <x:row r="12">
      <x:c r="A12" s="30" t="str">
        <x:f>TEXT('02_趋势明细'!A5,"yyyy-mm-dd")</x:f>
        <x:v>2026-08-26</x:v>
      </x:c>
      <x:c r="B12" s="38" t="n">
        <x:f>'02_趋势明细'!B5</x:f>
        <x:v>503</x:v>
      </x:c>
      <x:c r="C12" s="195"/>
    </x:row>
    <x:row r="13">
      <x:c r="A13" s="33" t="str">
        <x:f>TEXT('02_趋势明细'!A6,"yyyy-mm-dd")</x:f>
        <x:v>2026-08-27</x:v>
      </x:c>
      <x:c r="B13" s="39" t="n">
        <x:f>'02_趋势明细'!B6</x:f>
        <x:v>543</x:v>
      </x:c>
      <x:c r="C13" s="196" t="n">
        <x:f>'02_趋势明细'!D6</x:f>
        <x:v>0.07952286282306163</x:v>
      </x:c>
    </x:row>
    <x:row r="14">
      <x:c r="A14" s="33" t="str">
        <x:f>TEXT('02_趋势明细'!A7,"yyyy-mm-dd")</x:f>
        <x:v>2026-08-28</x:v>
      </x:c>
      <x:c r="B14" s="39" t="n">
        <x:f>'02_趋势明细'!B7</x:f>
        <x:v>551</x:v>
      </x:c>
      <x:c r="C14" s="196" t="n">
        <x:f>'02_趋势明细'!D7</x:f>
        <x:v>0.014732965009208104</x:v>
      </x:c>
    </x:row>
    <x:row r="15">
      <x:c r="A15" s="33" t="str">
        <x:f>TEXT('02_趋势明细'!A8,"yyyy-mm-dd")</x:f>
        <x:v>2026-08-29</x:v>
      </x:c>
      <x:c r="B15" s="39" t="n">
        <x:f>'02_趋势明细'!B8</x:f>
        <x:v>477</x:v>
      </x:c>
      <x:c r="C15" s="196" t="n">
        <x:f>'02_趋势明细'!D8</x:f>
        <x:v>-0.13430127041742287</x:v>
      </x:c>
    </x:row>
    <x:row r="16">
      <x:c r="A16" s="33" t="str">
        <x:f>TEXT('02_趋势明细'!A9,"yyyy-mm-dd")</x:f>
        <x:v>2026-08-30</x:v>
      </x:c>
      <x:c r="B16" s="39" t="n">
        <x:f>'02_趋势明细'!B9</x:f>
        <x:v>497</x:v>
      </x:c>
      <x:c r="C16" s="196" t="n">
        <x:f>'02_趋势明细'!D9</x:f>
        <x:v>0.041928721174004195</x:v>
      </x:c>
    </x:row>
    <x:row r="17">
      <x:c r="A17" s="33" t="str">
        <x:f>TEXT('02_趋势明细'!A10,"yyyy-mm-dd")</x:f>
        <x:v>2026-08-31</x:v>
      </x:c>
      <x:c r="B17" s="39" t="n">
        <x:f>'02_趋势明细'!B10</x:f>
        <x:v>514</x:v>
      </x:c>
      <x:c r="C17" s="196" t="n">
        <x:f>'02_趋势明细'!D10</x:f>
        <x:v>0.03420523138832998</x:v>
      </x:c>
    </x:row>
    <x:row r="18">
      <x:c r="A18" s="33" t="str">
        <x:f>TEXT('02_趋势明细'!A11,"yyyy-mm-dd")</x:f>
        <x:v>2026-09-01</x:v>
      </x:c>
      <x:c r="B18" s="39" t="n">
        <x:f>'02_趋势明细'!B11</x:f>
        <x:v>500</x:v>
      </x:c>
      <x:c r="C18" s="196" t="n">
        <x:f>'02_趋势明细'!D11</x:f>
        <x:v>-0.027237354085603113</x:v>
      </x:c>
    </x:row>
    <x:row r="21" ht="24" customHeight="1">
      <x:c r="A21" s="86" t="str">
        <x:v>派生加工结果</x:v>
      </x:c>
      <x:c r="B21" s="86"/>
      <x:c r="C21" s="86"/>
      <x:c r="D21" s="86"/>
    </x:row>
    <x:row r="22" ht="28" customHeight="1">
      <x:c r="A22" s="20" t="str">
        <x:v>加工项</x:v>
      </x:c>
      <x:c r="B22" s="21" t="str">
        <x:v>结果</x:v>
      </x:c>
      <x:c r="C22" s="21" t="str">
        <x:v>计算逻辑</x:v>
      </x:c>
      <x:c r="D22" s="22" t="str">
        <x:v>用途</x:v>
      </x:c>
    </x:row>
    <x:row r="23">
      <x:c r="A23" s="197" t="str">
        <x:v>最新日较前日变化人数</x:v>
      </x:c>
      <x:c r="B23" s="199" t="n">
        <x:f>'02_趋势明细'!C11</x:f>
        <x:v>-14</x:v>
      </x:c>
      <x:c r="C23" s="31" t="str">
        <x:v>最新日 - 前一日</x:v>
      </x:c>
      <x:c r="D23" s="32" t="str">
        <x:v>判断短期变化</x:v>
      </x:c>
    </x:row>
    <x:row r="24">
      <x:c r="A24" s="198" t="str">
        <x:v>最新日较前日变化率</x:v>
      </x:c>
      <x:c r="B24" s="41" t="n">
        <x:f>'02_趋势明细'!D11</x:f>
        <x:v>-0.027237354085603113</x:v>
      </x:c>
      <x:c r="C24" s="34" t="str">
        <x:v>变化人数 ÷ 前一日</x:v>
      </x:c>
      <x:c r="D24" s="35" t="str">
        <x:v>统一变化率口径</x:v>
      </x:c>
    </x:row>
    <x:row r="25">
      <x:c r="A25" s="198" t="str">
        <x:v>峰谷差</x:v>
      </x:c>
      <x:c r="B25" s="39" t="n">
        <x:f>MAX('02_趋势明细'!$B$5:$B$11)-MIN('02_趋势明细'!$B$5:$B$11)</x:f>
        <x:v>74</x:v>
      </x:c>
      <x:c r="C25" s="34" t="str">
        <x:v>单日最大值 - 单日最小值</x:v>
      </x:c>
      <x:c r="D25" s="35" t="str">
        <x:v>观察绝对波动</x:v>
      </x:c>
    </x:row>
    <x:row r="26">
      <x:c r="A26" s="198" t="str">
        <x:v>峰谷差 / 日均</x:v>
      </x:c>
      <x:c r="B26" s="41" t="n">
        <x:f>B25/AVERAGE('02_趋势明细'!$B$5:$B$11)</x:f>
        <x:v>0.14449093444909344</x:v>
      </x:c>
      <x:c r="C26" s="34" t="str">
        <x:v>峰谷差 ÷ 7 日均值</x:v>
      </x:c>
      <x:c r="D26" s="35" t="str">
        <x:v>观察相对波动</x:v>
      </x:c>
    </x:row>
  </x:sheetData>
  <x:mergeCells>
    <x:mergeCell ref="A1:L1"/>
    <x:mergeCell ref="A2:L2"/>
    <x:mergeCell ref="A4:C4"/>
    <x:mergeCell ref="A5:C7"/>
    <x:mergeCell ref="A8:C8"/>
    <x:mergeCell ref="D4:F4"/>
    <x:mergeCell ref="D5:F7"/>
    <x:mergeCell ref="D8:F8"/>
    <x:mergeCell ref="G4:I4"/>
    <x:mergeCell ref="G5:I7"/>
    <x:mergeCell ref="G8:I8"/>
    <x:mergeCell ref="J4:L4"/>
    <x:mergeCell ref="J5:L7"/>
    <x:mergeCell ref="J8:L8"/>
    <x:mergeCell ref="A21:D21"/>
  </x:mergeCells>
  <x:pageMargins left="0.7" right="0.7" top="0.75" bottom="0.75" header="0.3" footer="0.3"/>
  <x:drawing xmlns:r="http://schemas.openxmlformats.org/officeDocument/2006/relationships" r:id="R5e8625d3c9b24c24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0" hidden="0" customWidth="1"/>
    <x:col min="5" max="5" width="24" hidden="0" customWidth="1"/>
  </x:cols>
  <x:sheetData>
    <x:row r="1" ht="34" customHeight="1">
      <x:c r="A1" s="4" t="str">
        <x:v>App 启动用户数｜趋势明细</x:v>
      </x:c>
      <x:c r="B1" s="4"/>
      <x:c r="C1" s="4"/>
      <x:c r="D1" s="4"/>
      <x:c r="E1" s="4"/>
    </x:row>
    <x:row r="2" ht="28" customHeight="1">
      <x:c r="A2" s="9" t="str">
        <x:v>真实聚合结果：7 个自然日；环比变化与相对均值为工作簿公式派生。</x:v>
      </x:c>
      <x:c r="B2" s="9"/>
      <x:c r="C2" s="9"/>
      <x:c r="D2" s="9"/>
      <x:c r="E2" s="9"/>
    </x:row>
    <x:row r="4" ht="28" customHeight="1">
      <x:c r="A4" s="20" t="str">
        <x:v>日期</x:v>
      </x:c>
      <x:c r="B4" s="21" t="str">
        <x:v>App 启动用户数</x:v>
      </x:c>
      <x:c r="C4" s="21" t="str">
        <x:v>较前日变化人数（派生）</x:v>
      </x:c>
      <x:c r="D4" s="21" t="str">
        <x:v>较前日变化率（派生）</x:v>
      </x:c>
      <x:c r="E4" s="22" t="str">
        <x:v>较 7 日均值差额（派生）</x:v>
      </x:c>
    </x:row>
    <x:row r="5">
      <x:c r="A5" s="36" t="n">
        <x:v>46260</x:v>
      </x:c>
      <x:c r="B5" s="38" t="n">
        <x:v>503</x:v>
      </x:c>
      <x:c r="C5" s="38"/>
      <x:c r="D5" s="40"/>
      <x:c r="E5" s="42" t="n">
        <x:f>B5-AVERAGE($B$5:$B$11)</x:f>
        <x:v>-9.14285714285711</x:v>
      </x:c>
    </x:row>
    <x:row r="6">
      <x:c r="A6" s="37" t="n">
        <x:v>46261</x:v>
      </x:c>
      <x:c r="B6" s="39" t="n">
        <x:v>543</x:v>
      </x:c>
      <x:c r="C6" s="39" t="n">
        <x:f>B6-B5</x:f>
        <x:v>40</x:v>
      </x:c>
      <x:c r="D6" s="41" t="n">
        <x:f>IF(B5=0,"",C6/B5)</x:f>
        <x:v>0.07952286282306163</x:v>
      </x:c>
      <x:c r="E6" s="43" t="n">
        <x:f>B6-AVERAGE($B$5:$B$11)</x:f>
        <x:v>30.85714285714289</x:v>
      </x:c>
    </x:row>
    <x:row r="7">
      <x:c r="A7" s="37" t="n">
        <x:v>46262</x:v>
      </x:c>
      <x:c r="B7" s="39" t="n">
        <x:v>551</x:v>
      </x:c>
      <x:c r="C7" s="39" t="n">
        <x:f>B7-B6</x:f>
        <x:v>8</x:v>
      </x:c>
      <x:c r="D7" s="41" t="n">
        <x:f>IF(B6=0,"",C7/B6)</x:f>
        <x:v>0.014732965009208104</x:v>
      </x:c>
      <x:c r="E7" s="43" t="n">
        <x:f>B7-AVERAGE($B$5:$B$11)</x:f>
        <x:v>38.85714285714289</x:v>
      </x:c>
    </x:row>
    <x:row r="8">
      <x:c r="A8" s="37" t="n">
        <x:v>46263</x:v>
      </x:c>
      <x:c r="B8" s="39" t="n">
        <x:v>477</x:v>
      </x:c>
      <x:c r="C8" s="39" t="n">
        <x:f>B8-B7</x:f>
        <x:v>-74</x:v>
      </x:c>
      <x:c r="D8" s="41" t="n">
        <x:f>IF(B7=0,"",C8/B7)</x:f>
        <x:v>-0.13430127041742287</x:v>
      </x:c>
      <x:c r="E8" s="43" t="n">
        <x:f>B8-AVERAGE($B$5:$B$11)</x:f>
        <x:v>-35.14285714285711</x:v>
      </x:c>
    </x:row>
    <x:row r="9">
      <x:c r="A9" s="37" t="n">
        <x:v>46264</x:v>
      </x:c>
      <x:c r="B9" s="39" t="n">
        <x:v>497</x:v>
      </x:c>
      <x:c r="C9" s="39" t="n">
        <x:f>B9-B8</x:f>
        <x:v>20</x:v>
      </x:c>
      <x:c r="D9" s="41" t="n">
        <x:f>IF(B8=0,"",C9/B8)</x:f>
        <x:v>0.041928721174004195</x:v>
      </x:c>
      <x:c r="E9" s="43" t="n">
        <x:f>B9-AVERAGE($B$5:$B$11)</x:f>
        <x:v>-15.14285714285711</x:v>
      </x:c>
    </x:row>
    <x:row r="10">
      <x:c r="A10" s="37" t="n">
        <x:v>46265</x:v>
      </x:c>
      <x:c r="B10" s="39" t="n">
        <x:v>514</x:v>
      </x:c>
      <x:c r="C10" s="39" t="n">
        <x:f>B10-B9</x:f>
        <x:v>17</x:v>
      </x:c>
      <x:c r="D10" s="41" t="n">
        <x:f>IF(B9=0,"",C10/B9)</x:f>
        <x:v>0.03420523138832998</x:v>
      </x:c>
      <x:c r="E10" s="43" t="n">
        <x:f>B10-AVERAGE($B$5:$B$11)</x:f>
        <x:v>1.8571428571428896</x:v>
      </x:c>
    </x:row>
    <x:row r="11">
      <x:c r="A11" s="37" t="n">
        <x:v>46266</x:v>
      </x:c>
      <x:c r="B11" s="39" t="n">
        <x:v>500</x:v>
      </x:c>
      <x:c r="C11" s="39" t="n">
        <x:f>B11-B10</x:f>
        <x:v>-14</x:v>
      </x:c>
      <x:c r="D11" s="41" t="n">
        <x:f>IF(B10=0,"",C11/B10)</x:f>
        <x:v>-0.027237354085603113</x:v>
      </x:c>
      <x:c r="E11" s="43" t="n">
        <x:f>B11-AVERAGE($B$5:$B$11)</x:f>
        <x:v>-12.14285714285711</x:v>
      </x:c>
    </x:row>
    <x:row r="12">
      <x:c r="A12" s="52" t="str">
        <x:v>日期序列合计</x:v>
      </x:c>
      <x:c r="B12" s="53" t="n">
        <x:f>SUM(B5:B11)</x:f>
        <x:v>3585</x:v>
      </x:c>
      <x:c r="C12" s="53"/>
      <x:c r="D12" s="54"/>
      <x:c r="E12" s="55"/>
    </x:row>
  </x:sheetData>
  <x:mergeCells>
    <x:mergeCell ref="A1:E1"/>
    <x:mergeCell ref="A2:E2"/>
  </x:mergeCells>
  <x:conditionalFormatting sqref="D6:D11">
    <x:cfRule type="cellIs" dxfId="0" priority="1" operator="lessThan">
      <x:formula>0</x:formula>
    </x:cfRule>
    <x:cfRule type="cellIs" dxfId="1" priority="2" operator="greaterThanOrEqual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3" max="3" width="22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4" t="str">
        <x:v>App 启动用户数｜维度拆解</x:v>
      </x:c>
      <x:c r="B1" s="4"/>
      <x:c r="C1" s="4"/>
      <x:c r="D1" s="4"/>
      <x:c r="E1" s="4"/>
      <x:c r="F1" s="4"/>
      <x:c r="G1" s="4"/>
      <x:c r="H1" s="4"/>
    </x:row>
    <x:row r="2" ht="28" customHeight="1">
      <x:c r="A2" s="9" t="str">
        <x:v>本次源查询未选择分组维度，因此不生成推测性的渠道、平台或用户类型数据。</x:v>
      </x:c>
      <x:c r="B2" s="9"/>
      <x:c r="C2" s="9"/>
      <x:c r="D2" s="9"/>
      <x:c r="E2" s="9"/>
      <x:c r="F2" s="9"/>
      <x:c r="G2" s="9"/>
      <x:c r="H2" s="9"/>
    </x:row>
    <x:row r="4">
      <x:c r="A4" s="75" t="str">
        <x:v>本次无维度拆解结果</x:v>
      </x:c>
      <x:c r="B4" s="76"/>
      <x:c r="C4" s="76"/>
      <x:c r="D4" s="76"/>
      <x:c r="E4" s="76"/>
      <x:c r="F4" s="76"/>
      <x:c r="G4" s="76"/>
      <x:c r="H4" s="77"/>
    </x:row>
    <x:row r="5">
      <x:c r="A5" s="78"/>
      <x:c r="B5" s="79"/>
      <x:c r="C5" s="79"/>
      <x:c r="D5" s="79"/>
      <x:c r="E5" s="79"/>
      <x:c r="F5" s="79"/>
      <x:c r="G5" s="79"/>
      <x:c r="H5" s="80"/>
    </x:row>
    <x:row r="6">
      <x:c r="A6" s="81"/>
      <x:c r="B6" s="82"/>
      <x:c r="C6" s="82"/>
      <x:c r="D6" s="82"/>
      <x:c r="E6" s="82"/>
      <x:c r="F6" s="82"/>
      <x:c r="G6" s="82"/>
      <x:c r="H6" s="83"/>
    </x:row>
    <x:row r="9" ht="24" customHeight="1">
      <x:c r="A9" s="86" t="str">
        <x:v>为什么保留这个 Sheet</x:v>
      </x:c>
      <x:c r="B9" s="86"/>
    </x:row>
    <x:row r="10" ht="30" customHeight="1">
      <x:c r="A10" s="89" t="str">
        <x:v>状态</x:v>
      </x:c>
      <x:c r="B10" s="91" t="str">
        <x:v>本次查询没有真实维度结果</x:v>
      </x:c>
    </x:row>
    <x:row r="11" ht="30" customHeight="1">
      <x:c r="A11" s="90" t="str">
        <x:v>导出原则</x:v>
      </x:c>
      <x:c r="B11" s="92" t="str">
        <x:v>不使用模拟数据，也不把“未知”当成 0</x:v>
      </x:c>
    </x:row>
    <x:row r="12" ht="30" customHeight="1">
      <x:c r="A12" s="90" t="str">
        <x:v>获得拆解的方法</x:v>
      </x:c>
      <x:c r="B12" s="92" t="str">
        <x:v>重新查询并选择已经接入、已经验数的维度后再导出</x:v>
      </x:c>
    </x:row>
  </x:sheetData>
  <x:mergeCells>
    <x:mergeCell ref="A1:H1"/>
    <x:mergeCell ref="A2:H2"/>
    <x:mergeCell ref="A4:H6"/>
    <x:mergeCell ref="A9:B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18" hidden="0" customWidth="1"/>
    <x:col min="5" max="5" width="16" hidden="0" customWidth="1"/>
    <x:col min="6" max="6" width="4" hidden="0" customWidth="1"/>
    <x:col min="7" max="7" width="20" hidden="0" customWidth="1"/>
    <x:col min="8" max="8" width="20" hidden="0" customWidth="1"/>
  </x:cols>
  <x:sheetData>
    <x:row r="1" ht="34" customHeight="1">
      <x:c r="A1" s="4" t="str">
        <x:v>App 启动用户数｜异常与限制</x:v>
      </x:c>
      <x:c r="B1" s="4"/>
      <x:c r="C1" s="4"/>
      <x:c r="D1" s="4"/>
      <x:c r="E1" s="4"/>
      <x:c r="F1" s="4"/>
      <x:c r="G1" s="4"/>
      <x:c r="H1" s="4"/>
    </x:row>
    <x:row r="2" ht="28" customHeight="1">
      <x:c r="A2" s="9" t="str">
        <x:v>核对源文件汇总值，并防止把日值求和误解成周期去重用户数。</x:v>
      </x:c>
      <x:c r="B2" s="9"/>
      <x:c r="C2" s="9"/>
      <x:c r="D2" s="9"/>
      <x:c r="E2" s="9"/>
      <x:c r="F2" s="9"/>
      <x:c r="G2" s="9"/>
      <x:c r="H2" s="9"/>
    </x:row>
    <x:row r="4" ht="28" customHeight="1">
      <x:c r="A4" s="20" t="str">
        <x:v>核对项</x:v>
      </x:c>
      <x:c r="B4" s="21" t="str">
        <x:v>源文件值</x:v>
      </x:c>
      <x:c r="C4" s="21" t="str">
        <x:v>本工作簿值</x:v>
      </x:c>
      <x:c r="D4" s="21" t="str">
        <x:v>差值</x:v>
      </x:c>
      <x:c r="E4" s="22" t="str">
        <x:v>状态</x:v>
      </x:c>
    </x:row>
    <x:row r="5">
      <x:c r="A5" s="30" t="str">
        <x:v>日期序列合计</x:v>
      </x:c>
      <x:c r="B5" s="200" t="n">
        <x:v>3585</x:v>
      </x:c>
      <x:c r="C5" s="200" t="n">
        <x:f>'01_关键结果'!A5</x:f>
        <x:v>3585</x:v>
      </x:c>
      <x:c r="D5" s="200" t="n">
        <x:f>ROUND(C5-B5,3)</x:f>
        <x:v>0</x:v>
      </x:c>
      <x:c r="E5" s="32" t="str">
        <x:f>IF(ABS(D5)&lt;0.001,"通过","异常")</x:f>
        <x:v>通过</x:v>
      </x:c>
    </x:row>
    <x:row r="6">
      <x:c r="A6" s="33" t="str">
        <x:v>日均用户数</x:v>
      </x:c>
      <x:c r="B6" s="201" t="n">
        <x:v>512.143</x:v>
      </x:c>
      <x:c r="C6" s="201" t="n">
        <x:f>'01_关键结果'!D5</x:f>
        <x:v>512.1428571428571</x:v>
      </x:c>
      <x:c r="D6" s="201" t="n">
        <x:f>ROUND(C6-B6,3)</x:f>
        <x:v>0</x:v>
      </x:c>
      <x:c r="E6" s="35" t="str">
        <x:f>IF(ABS(D6)&lt;0.001,"通过","异常")</x:f>
        <x:v>通过</x:v>
      </x:c>
    </x:row>
    <x:row r="7">
      <x:c r="A7" s="33" t="str">
        <x:v>有效日期数</x:v>
      </x:c>
      <x:c r="B7" s="201" t="n">
        <x:v>7</x:v>
      </x:c>
      <x:c r="C7" s="201" t="n">
        <x:f>COUNT('02_趋势明细'!$B$5:$B$11)</x:f>
        <x:v>7</x:v>
      </x:c>
      <x:c r="D7" s="201" t="n">
        <x:f>ROUND(C7-B7,3)</x:f>
        <x:v>0</x:v>
      </x:c>
      <x:c r="E7" s="35" t="str">
        <x:f>IF(ABS(D7)&lt;0.001,"通过","异常")</x:f>
        <x:v>通过</x:v>
      </x:c>
    </x:row>
    <x:row r="10" ht="24" customHeight="1">
      <x:c r="A10" s="86" t="str">
        <x:v>异常、缺失与解释边界</x:v>
      </x:c>
      <x:c r="B10" s="86"/>
      <x:c r="C10" s="86"/>
    </x:row>
    <x:row r="11" ht="28" customHeight="1">
      <x:c r="A11" s="20" t="str">
        <x:v>项目</x:v>
      </x:c>
      <x:c r="B11" s="21" t="str">
        <x:v>实际情况</x:v>
      </x:c>
      <x:c r="C11" s="22" t="str">
        <x:v>处理方式</x:v>
      </x:c>
    </x:row>
    <x:row r="12" ht="38" customHeight="1">
      <x:c r="A12" s="202" t="str">
        <x:v>日期序列合计</x:v>
      </x:c>
      <x:c r="B12" s="203" t="str">
        <x:v>3,585 是 7 个日用户数相加</x:v>
      </x:c>
      <x:c r="C12" s="91" t="str">
        <x:v>明确标注：不能当作 7 日去重用户数</x:v>
      </x:c>
    </x:row>
    <x:row r="13" ht="38" customHeight="1">
      <x:c r="A13" s="204" t="str">
        <x:v>维度结果</x:v>
      </x:c>
      <x:c r="B13" s="205" t="str">
        <x:v>源查询没有分组维度</x:v>
      </x:c>
      <x:c r="C13" s="92" t="str">
        <x:v>保留空状态，不生成模拟维度数据</x:v>
      </x:c>
    </x:row>
    <x:row r="14" ht="38" customHeight="1">
      <x:c r="A14" s="204" t="str">
        <x:v>查询上下文</x:v>
      </x:c>
      <x:c r="B14" s="205" t="str">
        <x:v>源文件未携带筛选条件、时区和数据更新时间</x:v>
      </x:c>
      <x:c r="C14" s="92" t="str">
        <x:v>在导出说明中明确标记“未携带”</x:v>
      </x:c>
    </x:row>
    <x:row r="15" ht="38" customHeight="1">
      <x:c r="A15" s="204" t="str">
        <x:v>原始明细</x:v>
      </x:c>
      <x:c r="B15" s="205" t="str">
        <x:v>没有用户级或事件级流水</x:v>
      </x:c>
      <x:c r="C15" s="92" t="str">
        <x:v>不创建空表，也不使用模拟数据</x:v>
      </x:c>
    </x:row>
    <x:row r="16" ht="38" customHeight="1">
      <x:c r="A16" s="204" t="str">
        <x:v>指标权威映射</x:v>
      </x:c>
      <x:c r="B16" s="205" t="str">
        <x:v>示例未绑定 YPBI 指标 ID 与版本</x:v>
      </x:c>
      <x:c r="C16" s="92" t="str">
        <x:v>仅演示导出结构，不作为正式指标口径</x:v>
      </x:c>
    </x:row>
  </x:sheetData>
  <x:mergeCells>
    <x:mergeCell ref="A1:H1"/>
    <x:mergeCell ref="A2:H2"/>
    <x:mergeCell ref="A10:C10"/>
  </x:mergeCells>
  <x:conditionalFormatting sqref="E5:E7">
    <x:cfRule type="containsText" dxfId="2" priority="1" operator="containsText" text="通过"/>
  </x:conditionalFormatting>
  <x:pageMargins left="0.7" right="0.7" top="0.75" bottom="0.75" header="0.3" footer="0.3"/>
</x:worksheet>
</file>