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79f81ca02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出说明" sheetId="1" r:id="R117f9102d3b84564"/>
    <x:sheet xmlns:r="http://schemas.openxmlformats.org/officeDocument/2006/relationships" name="01_看板总览" sheetId="2" r:id="R35991830e6dc47e7"/>
    <x:sheet xmlns:r="http://schemas.openxmlformats.org/officeDocument/2006/relationships" name="02_卡片索引" sheetId="3" r:id="R2e7675a80efc4b44"/>
    <x:sheet xmlns:r="http://schemas.openxmlformats.org/officeDocument/2006/relationships" name="C01_App启动" sheetId="4" r:id="Raa0eee3ad55e4fa4"/>
    <x:sheet xmlns:r="http://schemas.openxmlformats.org/officeDocument/2006/relationships" name="C02_事件SDK" sheetId="5" r:id="Ra7e4d4d5899c418d"/>
    <x:sheet xmlns:r="http://schemas.openxmlformats.org/officeDocument/2006/relationships" name="C03_漏斗" sheetId="6" r:id="R7670c47f8eaa4919"/>
    <x:sheet xmlns:r="http://schemas.openxmlformats.org/officeDocument/2006/relationships" name="C04_留存" sheetId="7" r:id="Reb05298a28d34f8b"/>
    <x:sheet xmlns:r="http://schemas.openxmlformats.org/officeDocument/2006/relationships" name="C05_分布" sheetId="8" r:id="R0ec6425ae356465d"/>
    <x:sheet xmlns:r="http://schemas.openxmlformats.org/officeDocument/2006/relationships" name="99_异常与限制" sheetId="9" r:id="Rf5c5aa584215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.0"/>
    <x:numFmt numFmtId="202" formatCode="yyyy-mm-dd"/>
    <x:numFmt numFmtId="203" formatCode="0.00%"/>
    <x:numFmt numFmtId="204" formatCode="0"/>
    <x:numFmt numFmtId="205" formatCode="0.000"/>
  </x:numFmts>
  <x:fonts count="17">
    <x:font>
      <x:sz val="11"/>
      <x:name val="Carlito"/>
    </x:font>
    <x:font>
      <x:sz val="10"/>
      <x:color rgb="FF334155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2563EB"/>
      <x:name val="Carlito"/>
    </x:font>
    <x:font>
      <x:b/>
      <x:sz val="10"/>
      <x:color rgb="FF334155"/>
      <x:name val="Carlito"/>
    </x:font>
    <x:font>
      <x:b/>
      <x:sz val="10"/>
      <x:color rgb="FFFFFFFF"/>
      <x:name val="Carlito"/>
    </x:font>
    <x:font>
      <x:b/>
      <x:sz val="10"/>
      <x:color rgb="FF2563EB"/>
      <x:name val="Carlito"/>
    </x:font>
    <x:font>
      <x:sz val="9"/>
      <x:color rgb="FFB45309"/>
      <x:name val="Carlito"/>
    </x:font>
    <x:font>
      <x:b/>
      <x:sz val="10"/>
      <x:color rgb="FF64748B"/>
      <x:name val="Carlito"/>
    </x:font>
    <x:font>
      <x:b/>
      <x:sz val="22"/>
      <x:color rgb="FF0F172A"/>
      <x:name val="Carlito"/>
    </x:font>
    <x:font>
      <x:sz val="9"/>
      <x:color rgb="FF64748B"/>
      <x:name val="Carlito"/>
    </x:font>
    <x:font>
      <x:sz val="9"/>
      <x:color rgb="FF0F766E"/>
      <x:name val="Carlito"/>
    </x:font>
    <x:font>
      <x:b/>
      <x:sz val="10"/>
      <x:color rgb="FF0F766E"/>
      <x:name val="Carlito"/>
    </x:font>
    <x:font>
      <x:sz val="10"/>
      <x:color rgb="FFB45309"/>
      <x:name val="Carlito"/>
    </x:font>
    <x:font>
      <x:b/>
      <x:sz val="9"/>
      <x:color rgb="FF64748B"/>
      <x:name val="Carlito"/>
    </x:font>
    <x:font>
      <x:sz val="9"/>
      <x:color rgb="FF33415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334155"/>
      </x:patternFill>
    </x:fill>
    <x:fill>
      <x:patternFill patternType="solid">
        <x:fgColor rgb="FFFFFBEB"/>
      </x:patternFill>
    </x:fill>
    <x:fill>
      <x:patternFill patternType="solid">
        <x:fgColor rgb="FFECFDF5"/>
      </x:patternFill>
    </x:fill>
    <x:fill>
      <x:patternFill patternType="solid">
        <x:fgColor rgb="FFFFFFFF"/>
      </x:patternFill>
    </x:fill>
  </x:fills>
  <x:borders count="46">
    <x:border/>
    <x:border>
      <x:left style="thin">
        <x:color rgb="FF0F172A"/>
      </x:left>
      <x:top style="thin">
        <x:color rgb="FF0F172A"/>
      </x:top>
    </x:border>
    <x:border>
      <x:top style="thin">
        <x:color rgb="FF0F172A"/>
      </x:top>
    </x:border>
    <x:border>
      <x:right style="thin">
        <x:color rgb="FF0F172A"/>
      </x:right>
      <x:top style="thin">
        <x:color rgb="FF0F172A"/>
      </x:top>
    </x:border>
    <x:border>
      <x:left style="thin">
        <x:color rgb="FF0F172A"/>
      </x:left>
      <x:bottom style="thin">
        <x:color rgb="FF0F172A"/>
      </x:bottom>
    </x:border>
    <x:border>
      <x:bottom style="thin">
        <x:color rgb="FF0F172A"/>
      </x:bottom>
    </x:border>
    <x:border>
      <x:right style="thin">
        <x:color rgb="FF0F172A"/>
      </x:right>
      <x:bottom style="thin">
        <x:color rgb="FF0F172A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BFDBFE"/>
      </x:left>
      <x:top style="thin">
        <x:color rgb="FFBFDBFE"/>
      </x:top>
      <x:bottom style="thin">
        <x:color rgb="FFBFDBFE"/>
      </x:bottom>
    </x:border>
    <x:border>
      <x:top style="thin">
        <x:color rgb="FFBFDBFE"/>
      </x:top>
      <x:bottom style="thin">
        <x:color rgb="FFBFDBFE"/>
      </x:bottom>
    </x:border>
    <x:border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bottom style="thin">
        <x:color rgb="FFE2E8F0"/>
      </x:bottom>
    </x:border>
    <x:border>
      <x:bottom style="thin">
        <x:color rgb="FFE2E8F0"/>
      </x:bottom>
    </x:border>
    <x:border>
      <x:right style="thin">
        <x:color rgb="FFCBD5E1"/>
      </x:right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E2E8F0"/>
      </x:bottom>
    </x:border>
    <x:border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right style="thin">
        <x:color rgb="FFCBD5E1"/>
      </x:right>
      <x:top style="thin">
        <x:color rgb="FFE2E8F0"/>
      </x:top>
      <x:bottom style="thin">
        <x:color rgb="FFCBD5E1"/>
      </x:bottom>
    </x:border>
    <x:border>
      <x:left style="thin">
        <x:color rgb="FFFDE68A"/>
      </x:left>
      <x:top style="thin">
        <x:color rgb="FFFDE68A"/>
      </x:top>
    </x:border>
    <x:border>
      <x:top style="thin">
        <x:color rgb="FFFDE68A"/>
      </x:top>
    </x:border>
    <x:border>
      <x:right style="thin">
        <x:color rgb="FFFDE68A"/>
      </x:right>
      <x:top style="thin">
        <x:color rgb="FFFDE68A"/>
      </x:top>
    </x:border>
    <x:border>
      <x:left style="thin">
        <x:color rgb="FFFDE68A"/>
      </x:left>
    </x:border>
    <x:border>
      <x:right style="thin">
        <x:color rgb="FFFDE68A"/>
      </x:right>
    </x:border>
    <x:border>
      <x:left style="thin">
        <x:color rgb="FFFDE68A"/>
      </x:left>
      <x:bottom style="thin">
        <x:color rgb="FFFDE68A"/>
      </x:bottom>
    </x:border>
    <x:border>
      <x:bottom style="thin">
        <x:color rgb="FFFDE68A"/>
      </x:bottom>
    </x:border>
    <x:border>
      <x:right style="thin">
        <x:color rgb="FFFDE68A"/>
      </x:right>
      <x:bottom style="thin">
        <x:color rgb="FFFDE68A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A7F3D0"/>
      </x:left>
      <x:top style="thin">
        <x:color rgb="FFA7F3D0"/>
      </x:top>
    </x:border>
    <x:border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</x:border>
    <x:border>
      <x:right style="thin">
        <x:color rgb="FFA7F3D0"/>
      </x:right>
    </x:border>
    <x:border>
      <x:left style="thin">
        <x:color rgb="FFA7F3D0"/>
      </x:left>
      <x:bottom style="thin">
        <x:color rgb="FFA7F3D0"/>
      </x:bottom>
    </x:border>
    <x:border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</x:borders>
  <x:cellStyleXfs count="1">
    <x:xf numFmtId="0" fontId="0" fillId="0" borderId="0"/>
  </x:cellStyleXfs>
  <x:cellXfs count="5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2" fillId="2" borderId="5" xfId="0" applyNumberFormat="1" applyFont="1" applyFill="1" applyBorder="1" applyAlignment="1">
      <x:alignment horizontal="left" vertical="center" wrapText="1"/>
    </x:xf>
    <x:xf numFmtId="0" fontId="2" fillId="2" borderId="6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horizontal="left" vertical="center" wrapText="1"/>
    </x:xf>
    <x:xf numFmtId="0" fontId="3" fillId="3" borderId="8" xfId="0" applyNumberFormat="1" applyFont="1" applyFill="1" applyBorder="1" applyAlignment="1">
      <x:alignment horizontal="left" vertical="center" wrapText="1"/>
    </x:xf>
    <x:xf numFmtId="0" fontId="3" fillId="3" borderId="9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horizontal="left" vertical="center" wrapText="1"/>
    </x:xf>
    <x:xf numFmtId="0" fontId="4" fillId="4" borderId="11" xfId="0" applyNumberFormat="1" applyFont="1" applyFill="1" applyBorder="1" applyAlignment="1">
      <x:alignment horizontal="left" vertical="center" wrapText="1"/>
    </x:xf>
    <x:xf numFmtId="0" fontId="4" fillId="4" borderId="12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4" xfId="0" applyNumberFormat="1" applyFont="1" applyFill="1" applyBorder="1" applyAlignment="1">
      <x:alignment vertical="center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3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23" xfId="0" applyNumberFormat="1" applyFont="1" applyFill="1" applyBorder="1" applyAlignment="1">
      <x:alignment vertical="center"/>
    </x:xf>
    <x:xf numFmtId="0" fontId="8" fillId="6" borderId="24" xfId="0" applyNumberFormat="1" applyFont="1" applyFill="1" applyBorder="1" applyAlignment="1">
      <x:alignment vertical="center"/>
    </x:xf>
    <x:xf numFmtId="0" fontId="8" fillId="6" borderId="25" xfId="0" applyNumberFormat="1" applyFont="1" applyFill="1" applyBorder="1" applyAlignment="1">
      <x:alignment vertical="center"/>
    </x:xf>
    <x:xf numFmtId="0" fontId="8" fillId="6" borderId="26" xfId="0" applyNumberFormat="1" applyFont="1" applyFill="1" applyBorder="1" applyAlignment="1">
      <x:alignment vertical="center"/>
    </x:xf>
    <x:xf numFmtId="0" fontId="8" fillId="6" borderId="27" xfId="0" applyNumberFormat="1" applyFont="1" applyFill="1" applyBorder="1" applyAlignment="1">
      <x:alignment vertical="center"/>
    </x:xf>
    <x:xf numFmtId="0" fontId="8" fillId="6" borderId="28" xfId="0" applyNumberFormat="1" applyFont="1" applyFill="1" applyBorder="1" applyAlignment="1">
      <x:alignment vertical="center"/>
    </x:xf>
    <x:xf numFmtId="0" fontId="8" fillId="6" borderId="29" xfId="0" applyNumberFormat="1" applyFont="1" applyFill="1" applyBorder="1" applyAlignment="1">
      <x:alignment vertical="center"/>
    </x:xf>
    <x:xf numFmtId="0" fontId="8" fillId="6" borderId="30" xfId="0" applyNumberFormat="1" applyFont="1" applyFill="1" applyBorder="1" applyAlignment="1">
      <x:alignment vertical="center"/>
    </x:xf>
    <x:xf numFmtId="0" fontId="8" fillId="6" borderId="23" xfId="0" applyNumberFormat="1" applyFont="1" applyFill="1" applyBorder="1" applyAlignment="1">
      <x:alignment vertical="center" wrapText="1"/>
    </x:xf>
    <x:xf numFmtId="0" fontId="8" fillId="6" borderId="24" xfId="0" applyNumberFormat="1" applyFont="1" applyFill="1" applyBorder="1" applyAlignment="1">
      <x:alignment vertical="center" wrapText="1"/>
    </x:xf>
    <x:xf numFmtId="0" fontId="8" fillId="6" borderId="25" xfId="0" applyNumberFormat="1" applyFont="1" applyFill="1" applyBorder="1" applyAlignment="1">
      <x:alignment vertical="center" wrapText="1"/>
    </x:xf>
    <x:xf numFmtId="0" fontId="8" fillId="6" borderId="26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27" xfId="0" applyNumberFormat="1" applyFont="1" applyFill="1" applyBorder="1" applyAlignment="1">
      <x:alignment vertical="center" wrapText="1"/>
    </x:xf>
    <x:xf numFmtId="0" fontId="8" fillId="6" borderId="28" xfId="0" applyNumberFormat="1" applyFont="1" applyFill="1" applyBorder="1" applyAlignment="1">
      <x:alignment vertical="center" wrapText="1"/>
    </x:xf>
    <x:xf numFmtId="0" fontId="8" fillId="6" borderId="29" xfId="0" applyNumberFormat="1" applyFont="1" applyFill="1" applyBorder="1" applyAlignment="1">
      <x:alignment vertical="center" wrapText="1"/>
    </x:xf>
    <x:xf numFmtId="0" fontId="8" fillId="6" borderId="30" xfId="0" applyNumberFormat="1" applyFont="1" applyFill="1" applyBorder="1" applyAlignment="1">
      <x:alignment vertical="center" wrapText="1"/>
    </x:xf>
    <x:xf numFmtId="0" fontId="8" fillId="6" borderId="23" xfId="0" applyNumberFormat="1" applyFont="1" applyFill="1" applyBorder="1" applyAlignment="1">
      <x:alignment horizontal="left" vertical="center" wrapText="1"/>
    </x:xf>
    <x:xf numFmtId="0" fontId="8" fillId="6" borderId="24" xfId="0" applyNumberFormat="1" applyFont="1" applyFill="1" applyBorder="1" applyAlignment="1">
      <x:alignment horizontal="left" vertical="center" wrapText="1"/>
    </x:xf>
    <x:xf numFmtId="0" fontId="8" fillId="6" borderId="25" xfId="0" applyNumberFormat="1" applyFont="1" applyFill="1" applyBorder="1" applyAlignment="1">
      <x:alignment horizontal="left" vertical="center" wrapText="1"/>
    </x:xf>
    <x:xf numFmtId="0" fontId="8" fillId="6" borderId="26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8" fillId="6" borderId="27" xfId="0" applyNumberFormat="1" applyFont="1" applyFill="1" applyBorder="1" applyAlignment="1">
      <x:alignment horizontal="left" vertical="center" wrapText="1"/>
    </x:xf>
    <x:xf numFmtId="0" fontId="8" fillId="6" borderId="28" xfId="0" applyNumberFormat="1" applyFont="1" applyFill="1" applyBorder="1" applyAlignment="1">
      <x:alignment horizontal="left" vertical="center" wrapText="1"/>
    </x:xf>
    <x:xf numFmtId="0" fontId="8" fillId="6" borderId="29" xfId="0" applyNumberFormat="1" applyFont="1" applyFill="1" applyBorder="1" applyAlignment="1">
      <x:alignment horizontal="left" vertical="center" wrapText="1"/>
    </x:xf>
    <x:xf numFmtId="0" fontId="8" fillId="6" borderId="30" xfId="0" applyNumberFormat="1" applyFont="1" applyFill="1" applyBorder="1" applyAlignment="1">
      <x:alignment horizontal="left" vertical="center" wrapText="1"/>
    </x:xf>
    <x:xf numFmtId="0" fontId="9" fillId="4" borderId="0" xfId="0" applyNumberFormat="1" applyFont="1" applyFill="1" applyBorder="1" applyAlignment="1">
      <x:alignment vertical="center"/>
    </x:xf>
    <x:xf numFmtId="0" fontId="9" fillId="4" borderId="7" xfId="0" applyNumberFormat="1" applyFont="1" applyFill="1" applyBorder="1" applyAlignment="1">
      <x:alignment vertical="center"/>
    </x:xf>
    <x:xf numFmtId="0" fontId="9" fillId="4" borderId="8" xfId="0" applyNumberFormat="1" applyFont="1" applyFill="1" applyBorder="1" applyAlignment="1">
      <x:alignment vertical="center"/>
    </x:xf>
    <x:xf numFmtId="0" fontId="9" fillId="4" borderId="9" xfId="0" applyNumberFormat="1" applyFont="1" applyFill="1" applyBorder="1" applyAlignment="1">
      <x:alignment vertical="center"/>
    </x:xf>
    <x:xf numFmtId="0" fontId="9" fillId="4" borderId="7" xfId="0" applyNumberFormat="1" applyFont="1" applyFill="1" applyBorder="1" applyAlignment="1">
      <x:alignment vertical="center" wrapText="1"/>
    </x:xf>
    <x:xf numFmtId="0" fontId="9" fillId="4" borderId="8" xfId="0" applyNumberFormat="1" applyFont="1" applyFill="1" applyBorder="1" applyAlignment="1">
      <x:alignment vertical="center" wrapText="1"/>
    </x:xf>
    <x:xf numFmtId="0" fontId="9" fillId="4" borderId="9" xfId="0" applyNumberFormat="1" applyFont="1" applyFill="1" applyBorder="1" applyAlignment="1">
      <x:alignment vertical="center" wrapText="1"/>
    </x:xf>
    <x:xf numFmtId="0" fontId="9" fillId="4" borderId="7" xfId="0" applyNumberFormat="1" applyFont="1" applyFill="1" applyBorder="1" applyAlignment="1">
      <x:alignment horizontal="left" vertical="center" wrapText="1"/>
    </x:xf>
    <x:xf numFmtId="0" fontId="9" fillId="4" borderId="8" xfId="0" applyNumberFormat="1" applyFont="1" applyFill="1" applyBorder="1" applyAlignment="1">
      <x:alignment horizontal="left" vertical="center" wrapText="1"/>
    </x:xf>
    <x:xf numFmtId="0" fontId="9" fillId="4" borderId="9" xfId="0" applyNumberFormat="1" applyFont="1" applyFill="1" applyBorder="1" applyAlignment="1">
      <x:alignment horizontal="left" vertical="center" wrapText="1"/>
    </x:xf>
    <x:xf numFmtId="0" fontId="10" fillId="4" borderId="0" xfId="0" applyNumberFormat="1" applyFont="1" applyFill="1" applyBorder="1" applyAlignment="1">
      <x:alignment vertical="center"/>
    </x:xf>
    <x:xf numFmtId="0" fontId="10" fillId="4" borderId="31" xfId="0" applyNumberFormat="1" applyFont="1" applyFill="1" applyBorder="1" applyAlignment="1">
      <x:alignment vertical="center"/>
    </x:xf>
    <x:xf numFmtId="0" fontId="10" fillId="4" borderId="32" xfId="0" applyNumberFormat="1" applyFont="1" applyFill="1" applyBorder="1" applyAlignment="1">
      <x:alignment vertical="center"/>
    </x:xf>
    <x:xf numFmtId="0" fontId="10" fillId="4" borderId="33" xfId="0" applyNumberFormat="1" applyFont="1" applyFill="1" applyBorder="1" applyAlignment="1">
      <x:alignment vertical="center"/>
    </x:xf>
    <x:xf numFmtId="0" fontId="10" fillId="4" borderId="34" xfId="0" applyNumberFormat="1" applyFont="1" applyFill="1" applyBorder="1" applyAlignment="1">
      <x:alignment vertical="center"/>
    </x:xf>
    <x:xf numFmtId="0" fontId="10" fillId="4" borderId="35" xfId="0" applyNumberFormat="1" applyFont="1" applyFill="1" applyBorder="1" applyAlignment="1">
      <x:alignment vertical="center"/>
    </x:xf>
    <x:xf numFmtId="0" fontId="10" fillId="4" borderId="36" xfId="0" applyNumberFormat="1" applyFont="1" applyFill="1" applyBorder="1" applyAlignment="1">
      <x:alignment vertical="center"/>
    </x:xf>
    <x:xf numFmtId="0" fontId="10" fillId="4" borderId="16" xfId="0" applyNumberFormat="1" applyFont="1" applyFill="1" applyBorder="1" applyAlignment="1">
      <x:alignment vertical="center"/>
    </x:xf>
    <x:xf numFmtId="0" fontId="10" fillId="4" borderId="37" xfId="0" applyNumberFormat="1" applyFont="1" applyFill="1" applyBorder="1" applyAlignment="1">
      <x:alignment vertical="center"/>
    </x:xf>
    <x:xf numFmtId="200" fontId="10" fillId="4" borderId="31" xfId="0" applyNumberFormat="1" applyFont="1" applyFill="1" applyBorder="1" applyAlignment="1">
      <x:alignment vertical="center"/>
    </x:xf>
    <x:xf numFmtId="200" fontId="10" fillId="4" borderId="32" xfId="0" applyNumberFormat="1" applyFont="1" applyFill="1" applyBorder="1" applyAlignment="1">
      <x:alignment vertical="center"/>
    </x:xf>
    <x:xf numFmtId="200" fontId="10" fillId="4" borderId="33" xfId="0" applyNumberFormat="1" applyFont="1" applyFill="1" applyBorder="1" applyAlignment="1">
      <x:alignment vertical="center"/>
    </x:xf>
    <x:xf numFmtId="200" fontId="10" fillId="4" borderId="34" xfId="0" applyNumberFormat="1" applyFont="1" applyFill="1" applyBorder="1" applyAlignment="1">
      <x:alignment vertical="center"/>
    </x:xf>
    <x:xf numFmtId="200" fontId="10" fillId="4" borderId="0" xfId="0" applyNumberFormat="1" applyFont="1" applyFill="1" applyBorder="1" applyAlignment="1">
      <x:alignment vertical="center"/>
    </x:xf>
    <x:xf numFmtId="200" fontId="10" fillId="4" borderId="35" xfId="0" applyNumberFormat="1" applyFont="1" applyFill="1" applyBorder="1" applyAlignment="1">
      <x:alignment vertical="center"/>
    </x:xf>
    <x:xf numFmtId="200" fontId="10" fillId="4" borderId="36" xfId="0" applyNumberFormat="1" applyFont="1" applyFill="1" applyBorder="1" applyAlignment="1">
      <x:alignment vertical="center"/>
    </x:xf>
    <x:xf numFmtId="200" fontId="10" fillId="4" borderId="16" xfId="0" applyNumberFormat="1" applyFont="1" applyFill="1" applyBorder="1" applyAlignment="1">
      <x:alignment vertical="center"/>
    </x:xf>
    <x:xf numFmtId="200" fontId="10" fillId="4" borderId="37" xfId="0" applyNumberFormat="1" applyFont="1" applyFill="1" applyBorder="1" applyAlignment="1">
      <x:alignment vertical="center"/>
    </x:xf>
    <x:xf numFmtId="200" fontId="10" fillId="4" borderId="31" xfId="0" applyNumberFormat="1" applyFont="1" applyFill="1" applyBorder="1" applyAlignment="1">
      <x:alignment horizontal="left" vertical="center"/>
    </x:xf>
    <x:xf numFmtId="200" fontId="10" fillId="4" borderId="32" xfId="0" applyNumberFormat="1" applyFont="1" applyFill="1" applyBorder="1" applyAlignment="1">
      <x:alignment horizontal="left" vertical="center"/>
    </x:xf>
    <x:xf numFmtId="200" fontId="10" fillId="4" borderId="33" xfId="0" applyNumberFormat="1" applyFont="1" applyFill="1" applyBorder="1" applyAlignment="1">
      <x:alignment horizontal="left" vertical="center"/>
    </x:xf>
    <x:xf numFmtId="200" fontId="10" fillId="4" borderId="34" xfId="0" applyNumberFormat="1" applyFont="1" applyFill="1" applyBorder="1" applyAlignment="1">
      <x:alignment horizontal="left" vertical="center"/>
    </x:xf>
    <x:xf numFmtId="200" fontId="10" fillId="4" borderId="0" xfId="0" applyNumberFormat="1" applyFont="1" applyFill="1" applyBorder="1" applyAlignment="1">
      <x:alignment horizontal="left" vertical="center"/>
    </x:xf>
    <x:xf numFmtId="200" fontId="10" fillId="4" borderId="35" xfId="0" applyNumberFormat="1" applyFont="1" applyFill="1" applyBorder="1" applyAlignment="1">
      <x:alignment horizontal="left" vertical="center"/>
    </x:xf>
    <x:xf numFmtId="200" fontId="10" fillId="4" borderId="36" xfId="0" applyNumberFormat="1" applyFont="1" applyFill="1" applyBorder="1" applyAlignment="1">
      <x:alignment horizontal="left" vertical="center"/>
    </x:xf>
    <x:xf numFmtId="200" fontId="10" fillId="4" borderId="16" xfId="0" applyNumberFormat="1" applyFont="1" applyFill="1" applyBorder="1" applyAlignment="1">
      <x:alignment horizontal="left" vertical="center"/>
    </x:xf>
    <x:xf numFmtId="200" fontId="10" fillId="4" borderId="37" xfId="0" applyNumberFormat="1" applyFont="1" applyFill="1" applyBorder="1" applyAlignment="1">
      <x:alignment horizontal="left"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7" xfId="0" applyNumberFormat="1" applyFont="1" applyFill="1" applyBorder="1" applyAlignment="1">
      <x:alignment vertical="center"/>
    </x:xf>
    <x:xf numFmtId="0" fontId="11" fillId="4" borderId="8" xfId="0" applyNumberFormat="1" applyFont="1" applyFill="1" applyBorder="1" applyAlignment="1">
      <x:alignment vertical="center"/>
    </x:xf>
    <x:xf numFmtId="0" fontId="11" fillId="4" borderId="9" xfId="0" applyNumberFormat="1" applyFont="1" applyFill="1" applyBorder="1" applyAlignment="1">
      <x:alignment vertical="center"/>
    </x:xf>
    <x:xf numFmtId="0" fontId="11" fillId="4" borderId="7" xfId="0" applyNumberFormat="1" applyFont="1" applyFill="1" applyBorder="1" applyAlignment="1">
      <x:alignment vertical="center" wrapText="1"/>
    </x:xf>
    <x:xf numFmtId="0" fontId="11" fillId="4" borderId="8" xfId="0" applyNumberFormat="1" applyFont="1" applyFill="1" applyBorder="1" applyAlignment="1">
      <x:alignment vertical="center" wrapText="1"/>
    </x:xf>
    <x:xf numFmtId="0" fontId="11" fillId="4" borderId="9" xfId="0" applyNumberFormat="1" applyFont="1" applyFill="1" applyBorder="1" applyAlignment="1">
      <x:alignment vertical="center" wrapText="1"/>
    </x:xf>
    <x:xf numFmtId="0" fontId="11" fillId="4" borderId="7" xfId="0" applyNumberFormat="1" applyFont="1" applyFill="1" applyBorder="1" applyAlignment="1">
      <x:alignment horizontal="left" vertical="center" wrapText="1"/>
    </x:xf>
    <x:xf numFmtId="0" fontId="11" fillId="4" borderId="8" xfId="0" applyNumberFormat="1" applyFont="1" applyFill="1" applyBorder="1" applyAlignment="1">
      <x:alignment horizontal="left" vertical="center" wrapText="1"/>
    </x:xf>
    <x:xf numFmtId="0" fontId="11" fillId="4" borderId="9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7" xfId="0" applyNumberFormat="1" applyFont="1" applyFill="1" applyBorder="1" applyAlignment="1">
      <x:alignment vertical="center"/>
    </x:xf>
    <x:xf numFmtId="0" fontId="9" fillId="7" borderId="8" xfId="0" applyNumberFormat="1" applyFont="1" applyFill="1" applyBorder="1" applyAlignment="1">
      <x:alignment vertical="center"/>
    </x:xf>
    <x:xf numFmtId="0" fontId="9" fillId="7" borderId="9" xfId="0" applyNumberFormat="1" applyFont="1" applyFill="1" applyBorder="1" applyAlignment="1">
      <x:alignment vertical="center"/>
    </x:xf>
    <x:xf numFmtId="0" fontId="9" fillId="7" borderId="7" xfId="0" applyNumberFormat="1" applyFont="1" applyFill="1" applyBorder="1" applyAlignment="1">
      <x:alignment vertical="center" wrapText="1"/>
    </x:xf>
    <x:xf numFmtId="0" fontId="9" fillId="7" borderId="8" xfId="0" applyNumberFormat="1" applyFont="1" applyFill="1" applyBorder="1" applyAlignment="1">
      <x:alignment vertical="center" wrapText="1"/>
    </x:xf>
    <x:xf numFmtId="0" fontId="9" fillId="7" borderId="9" xfId="0" applyNumberFormat="1" applyFont="1" applyFill="1" applyBorder="1" applyAlignment="1">
      <x:alignment vertical="center" wrapText="1"/>
    </x:xf>
    <x:xf numFmtId="0" fontId="9" fillId="7" borderId="7" xfId="0" applyNumberFormat="1" applyFont="1" applyFill="1" applyBorder="1" applyAlignment="1">
      <x:alignment horizontal="left" vertical="center" wrapText="1"/>
    </x:xf>
    <x:xf numFmtId="0" fontId="9" fillId="7" borderId="8" xfId="0" applyNumberFormat="1" applyFont="1" applyFill="1" applyBorder="1" applyAlignment="1">
      <x:alignment horizontal="left" vertical="center" wrapText="1"/>
    </x:xf>
    <x:xf numFmtId="0" fontId="9" fillId="7" borderId="9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vertical="center"/>
    </x:xf>
    <x:xf numFmtId="0" fontId="10" fillId="7" borderId="31" xfId="0" applyNumberFormat="1" applyFont="1" applyFill="1" applyBorder="1" applyAlignment="1">
      <x:alignment vertical="center"/>
    </x:xf>
    <x:xf numFmtId="0" fontId="10" fillId="7" borderId="32" xfId="0" applyNumberFormat="1" applyFont="1" applyFill="1" applyBorder="1" applyAlignment="1">
      <x:alignment vertical="center"/>
    </x:xf>
    <x:xf numFmtId="0" fontId="10" fillId="7" borderId="33" xfId="0" applyNumberFormat="1" applyFont="1" applyFill="1" applyBorder="1" applyAlignment="1">
      <x:alignment vertical="center"/>
    </x:xf>
    <x:xf numFmtId="0" fontId="10" fillId="7" borderId="34" xfId="0" applyNumberFormat="1" applyFont="1" applyFill="1" applyBorder="1" applyAlignment="1">
      <x:alignment vertical="center"/>
    </x:xf>
    <x:xf numFmtId="0" fontId="10" fillId="7" borderId="35" xfId="0" applyNumberFormat="1" applyFont="1" applyFill="1" applyBorder="1" applyAlignment="1">
      <x:alignment vertical="center"/>
    </x:xf>
    <x:xf numFmtId="0" fontId="10" fillId="7" borderId="36" xfId="0" applyNumberFormat="1" applyFont="1" applyFill="1" applyBorder="1" applyAlignment="1">
      <x:alignment vertical="center"/>
    </x:xf>
    <x:xf numFmtId="0" fontId="10" fillId="7" borderId="16" xfId="0" applyNumberFormat="1" applyFont="1" applyFill="1" applyBorder="1" applyAlignment="1">
      <x:alignment vertical="center"/>
    </x:xf>
    <x:xf numFmtId="0" fontId="10" fillId="7" borderId="37" xfId="0" applyNumberFormat="1" applyFont="1" applyFill="1" applyBorder="1" applyAlignment="1">
      <x:alignment vertical="center"/>
    </x:xf>
    <x:xf numFmtId="201" fontId="10" fillId="7" borderId="31" xfId="0" applyNumberFormat="1" applyFont="1" applyFill="1" applyBorder="1" applyAlignment="1">
      <x:alignment vertical="center"/>
    </x:xf>
    <x:xf numFmtId="201" fontId="10" fillId="7" borderId="32" xfId="0" applyNumberFormat="1" applyFont="1" applyFill="1" applyBorder="1" applyAlignment="1">
      <x:alignment vertical="center"/>
    </x:xf>
    <x:xf numFmtId="201" fontId="10" fillId="7" borderId="33" xfId="0" applyNumberFormat="1" applyFont="1" applyFill="1" applyBorder="1" applyAlignment="1">
      <x:alignment vertical="center"/>
    </x:xf>
    <x:xf numFmtId="201" fontId="10" fillId="7" borderId="34" xfId="0" applyNumberFormat="1" applyFont="1" applyFill="1" applyBorder="1" applyAlignment="1">
      <x:alignment vertical="center"/>
    </x:xf>
    <x:xf numFmtId="201" fontId="10" fillId="7" borderId="0" xfId="0" applyNumberFormat="1" applyFont="1" applyFill="1" applyBorder="1" applyAlignment="1">
      <x:alignment vertical="center"/>
    </x:xf>
    <x:xf numFmtId="201" fontId="10" fillId="7" borderId="35" xfId="0" applyNumberFormat="1" applyFont="1" applyFill="1" applyBorder="1" applyAlignment="1">
      <x:alignment vertical="center"/>
    </x:xf>
    <x:xf numFmtId="201" fontId="10" fillId="7" borderId="36" xfId="0" applyNumberFormat="1" applyFont="1" applyFill="1" applyBorder="1" applyAlignment="1">
      <x:alignment vertical="center"/>
    </x:xf>
    <x:xf numFmtId="201" fontId="10" fillId="7" borderId="16" xfId="0" applyNumberFormat="1" applyFont="1" applyFill="1" applyBorder="1" applyAlignment="1">
      <x:alignment vertical="center"/>
    </x:xf>
    <x:xf numFmtId="201" fontId="10" fillId="7" borderId="37" xfId="0" applyNumberFormat="1" applyFont="1" applyFill="1" applyBorder="1" applyAlignment="1">
      <x:alignment vertical="center"/>
    </x:xf>
    <x:xf numFmtId="201" fontId="10" fillId="7" borderId="31" xfId="0" applyNumberFormat="1" applyFont="1" applyFill="1" applyBorder="1" applyAlignment="1">
      <x:alignment horizontal="left" vertical="center"/>
    </x:xf>
    <x:xf numFmtId="201" fontId="10" fillId="7" borderId="32" xfId="0" applyNumberFormat="1" applyFont="1" applyFill="1" applyBorder="1" applyAlignment="1">
      <x:alignment horizontal="left" vertical="center"/>
    </x:xf>
    <x:xf numFmtId="201" fontId="10" fillId="7" borderId="33" xfId="0" applyNumberFormat="1" applyFont="1" applyFill="1" applyBorder="1" applyAlignment="1">
      <x:alignment horizontal="left" vertical="center"/>
    </x:xf>
    <x:xf numFmtId="201" fontId="10" fillId="7" borderId="34" xfId="0" applyNumberFormat="1" applyFont="1" applyFill="1" applyBorder="1" applyAlignment="1">
      <x:alignment horizontal="left" vertical="center"/>
    </x:xf>
    <x:xf numFmtId="201" fontId="10" fillId="7" borderId="0" xfId="0" applyNumberFormat="1" applyFont="1" applyFill="1" applyBorder="1" applyAlignment="1">
      <x:alignment horizontal="left" vertical="center"/>
    </x:xf>
    <x:xf numFmtId="201" fontId="10" fillId="7" borderId="35" xfId="0" applyNumberFormat="1" applyFont="1" applyFill="1" applyBorder="1" applyAlignment="1">
      <x:alignment horizontal="left" vertical="center"/>
    </x:xf>
    <x:xf numFmtId="201" fontId="10" fillId="7" borderId="36" xfId="0" applyNumberFormat="1" applyFont="1" applyFill="1" applyBorder="1" applyAlignment="1">
      <x:alignment horizontal="left" vertical="center"/>
    </x:xf>
    <x:xf numFmtId="201" fontId="10" fillId="7" borderId="16" xfId="0" applyNumberFormat="1" applyFont="1" applyFill="1" applyBorder="1" applyAlignment="1">
      <x:alignment horizontal="left" vertical="center"/>
    </x:xf>
    <x:xf numFmtId="201" fontId="10" fillId="7" borderId="37" xfId="0" applyNumberFormat="1" applyFont="1" applyFill="1" applyBorder="1" applyAlignment="1">
      <x:alignment horizontal="left"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7" borderId="7" xfId="0" applyNumberFormat="1" applyFont="1" applyFill="1" applyBorder="1" applyAlignment="1">
      <x:alignment vertical="center"/>
    </x:xf>
    <x:xf numFmtId="0" fontId="11" fillId="7" borderId="8" xfId="0" applyNumberFormat="1" applyFont="1" applyFill="1" applyBorder="1" applyAlignment="1">
      <x:alignment vertical="center"/>
    </x:xf>
    <x:xf numFmtId="0" fontId="11" fillId="7" borderId="9" xfId="0" applyNumberFormat="1" applyFont="1" applyFill="1" applyBorder="1" applyAlignment="1">
      <x:alignment vertical="center"/>
    </x:xf>
    <x:xf numFmtId="0" fontId="11" fillId="7" borderId="7" xfId="0" applyNumberFormat="1" applyFont="1" applyFill="1" applyBorder="1" applyAlignment="1">
      <x:alignment vertical="center"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horizontal="left" vertical="center" wrapText="1"/>
    </x:xf>
    <x:xf numFmtId="0" fontId="11" fillId="7" borderId="8" xfId="0" applyNumberFormat="1" applyFont="1" applyFill="1" applyBorder="1" applyAlignment="1">
      <x:alignment horizontal="left" vertical="center" wrapText="1"/>
    </x:xf>
    <x:xf numFmtId="0" fontId="11" fillId="7" borderId="9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vertical="center"/>
    </x:xf>
    <x:xf numFmtId="0" fontId="9" fillId="6" borderId="7" xfId="0" applyNumberFormat="1" applyFont="1" applyFill="1" applyBorder="1" applyAlignment="1">
      <x:alignment vertical="center"/>
    </x:xf>
    <x:xf numFmtId="0" fontId="9" fillId="6" borderId="8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7" xfId="0" applyNumberFormat="1" applyFont="1" applyFill="1" applyBorder="1" applyAlignment="1">
      <x:alignment vertical="center" wrapText="1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7" xfId="0" applyNumberFormat="1" applyFont="1" applyFill="1" applyBorder="1" applyAlignment="1">
      <x:alignment horizontal="left" vertical="center" wrapText="1"/>
    </x:xf>
    <x:xf numFmtId="0" fontId="9" fillId="6" borderId="8" xfId="0" applyNumberFormat="1" applyFont="1" applyFill="1" applyBorder="1" applyAlignment="1">
      <x:alignment horizontal="left" vertical="center" wrapText="1"/>
    </x:xf>
    <x:xf numFmtId="0" fontId="9" fillId="6" borderId="9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 applyAlignment="1">
      <x:alignment vertical="center"/>
    </x:xf>
    <x:xf numFmtId="0" fontId="10" fillId="6" borderId="31" xfId="0" applyNumberFormat="1" applyFont="1" applyFill="1" applyBorder="1" applyAlignment="1">
      <x:alignment vertical="center"/>
    </x:xf>
    <x:xf numFmtId="0" fontId="10" fillId="6" borderId="32" xfId="0" applyNumberFormat="1" applyFont="1" applyFill="1" applyBorder="1" applyAlignment="1">
      <x:alignment vertical="center"/>
    </x:xf>
    <x:xf numFmtId="0" fontId="10" fillId="6" borderId="33" xfId="0" applyNumberFormat="1" applyFont="1" applyFill="1" applyBorder="1" applyAlignment="1">
      <x:alignment vertical="center"/>
    </x:xf>
    <x:xf numFmtId="0" fontId="10" fillId="6" borderId="34" xfId="0" applyNumberFormat="1" applyFont="1" applyFill="1" applyBorder="1" applyAlignment="1">
      <x:alignment vertical="center"/>
    </x:xf>
    <x:xf numFmtId="0" fontId="10" fillId="6" borderId="35" xfId="0" applyNumberFormat="1" applyFont="1" applyFill="1" applyBorder="1" applyAlignment="1">
      <x:alignment vertical="center"/>
    </x:xf>
    <x:xf numFmtId="0" fontId="10" fillId="6" borderId="36" xfId="0" applyNumberFormat="1" applyFont="1" applyFill="1" applyBorder="1" applyAlignment="1">
      <x:alignment vertical="center"/>
    </x:xf>
    <x:xf numFmtId="0" fontId="10" fillId="6" borderId="16" xfId="0" applyNumberFormat="1" applyFont="1" applyFill="1" applyBorder="1" applyAlignment="1">
      <x:alignment vertical="center"/>
    </x:xf>
    <x:xf numFmtId="0" fontId="10" fillId="6" borderId="37" xfId="0" applyNumberFormat="1" applyFont="1" applyFill="1" applyBorder="1" applyAlignment="1">
      <x:alignment vertical="center"/>
    </x:xf>
    <x:xf numFmtId="200" fontId="10" fillId="6" borderId="31" xfId="0" applyNumberFormat="1" applyFont="1" applyFill="1" applyBorder="1" applyAlignment="1">
      <x:alignment vertical="center"/>
    </x:xf>
    <x:xf numFmtId="200" fontId="10" fillId="6" borderId="32" xfId="0" applyNumberFormat="1" applyFont="1" applyFill="1" applyBorder="1" applyAlignment="1">
      <x:alignment vertical="center"/>
    </x:xf>
    <x:xf numFmtId="200" fontId="10" fillId="6" borderId="33" xfId="0" applyNumberFormat="1" applyFont="1" applyFill="1" applyBorder="1" applyAlignment="1">
      <x:alignment vertical="center"/>
    </x:xf>
    <x:xf numFmtId="200" fontId="10" fillId="6" borderId="34" xfId="0" applyNumberFormat="1" applyFont="1" applyFill="1" applyBorder="1" applyAlignment="1">
      <x:alignment vertical="center"/>
    </x:xf>
    <x:xf numFmtId="200" fontId="10" fillId="6" borderId="0" xfId="0" applyNumberFormat="1" applyFont="1" applyFill="1" applyBorder="1" applyAlignment="1">
      <x:alignment vertical="center"/>
    </x:xf>
    <x:xf numFmtId="200" fontId="10" fillId="6" borderId="35" xfId="0" applyNumberFormat="1" applyFont="1" applyFill="1" applyBorder="1" applyAlignment="1">
      <x:alignment vertical="center"/>
    </x:xf>
    <x:xf numFmtId="200" fontId="10" fillId="6" borderId="36" xfId="0" applyNumberFormat="1" applyFont="1" applyFill="1" applyBorder="1" applyAlignment="1">
      <x:alignment vertical="center"/>
    </x:xf>
    <x:xf numFmtId="200" fontId="10" fillId="6" borderId="16" xfId="0" applyNumberFormat="1" applyFont="1" applyFill="1" applyBorder="1" applyAlignment="1">
      <x:alignment vertical="center"/>
    </x:xf>
    <x:xf numFmtId="200" fontId="10" fillId="6" borderId="37" xfId="0" applyNumberFormat="1" applyFont="1" applyFill="1" applyBorder="1" applyAlignment="1">
      <x:alignment vertical="center"/>
    </x:xf>
    <x:xf numFmtId="200" fontId="10" fillId="6" borderId="31" xfId="0" applyNumberFormat="1" applyFont="1" applyFill="1" applyBorder="1" applyAlignment="1">
      <x:alignment horizontal="left" vertical="center"/>
    </x:xf>
    <x:xf numFmtId="200" fontId="10" fillId="6" borderId="32" xfId="0" applyNumberFormat="1" applyFont="1" applyFill="1" applyBorder="1" applyAlignment="1">
      <x:alignment horizontal="left" vertical="center"/>
    </x:xf>
    <x:xf numFmtId="200" fontId="10" fillId="6" borderId="33" xfId="0" applyNumberFormat="1" applyFont="1" applyFill="1" applyBorder="1" applyAlignment="1">
      <x:alignment horizontal="left" vertical="center"/>
    </x:xf>
    <x:xf numFmtId="200" fontId="10" fillId="6" borderId="34" xfId="0" applyNumberFormat="1" applyFont="1" applyFill="1" applyBorder="1" applyAlignment="1">
      <x:alignment horizontal="left" vertical="center"/>
    </x:xf>
    <x:xf numFmtId="200" fontId="10" fillId="6" borderId="0" xfId="0" applyNumberFormat="1" applyFont="1" applyFill="1" applyBorder="1" applyAlignment="1">
      <x:alignment horizontal="left" vertical="center"/>
    </x:xf>
    <x:xf numFmtId="200" fontId="10" fillId="6" borderId="35" xfId="0" applyNumberFormat="1" applyFont="1" applyFill="1" applyBorder="1" applyAlignment="1">
      <x:alignment horizontal="left" vertical="center"/>
    </x:xf>
    <x:xf numFmtId="200" fontId="10" fillId="6" borderId="36" xfId="0" applyNumberFormat="1" applyFont="1" applyFill="1" applyBorder="1" applyAlignment="1">
      <x:alignment horizontal="left" vertical="center"/>
    </x:xf>
    <x:xf numFmtId="200" fontId="10" fillId="6" borderId="16" xfId="0" applyNumberFormat="1" applyFont="1" applyFill="1" applyBorder="1" applyAlignment="1">
      <x:alignment horizontal="left" vertical="center"/>
    </x:xf>
    <x:xf numFmtId="200" fontId="10" fillId="6" borderId="37" xfId="0" applyNumberFormat="1" applyFont="1" applyFill="1" applyBorder="1" applyAlignment="1">
      <x:alignment horizontal="left"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6" borderId="7" xfId="0" applyNumberFormat="1" applyFont="1" applyFill="1" applyBorder="1" applyAlignment="1">
      <x:alignment vertical="center"/>
    </x:xf>
    <x:xf numFmtId="0" fontId="11" fillId="6" borderId="8" xfId="0" applyNumberFormat="1" applyFont="1" applyFill="1" applyBorder="1" applyAlignment="1">
      <x:alignment vertical="center"/>
    </x:xf>
    <x:xf numFmtId="0" fontId="11" fillId="6" borderId="9" xfId="0" applyNumberFormat="1" applyFont="1" applyFill="1" applyBorder="1" applyAlignment="1">
      <x:alignment vertical="center"/>
    </x:xf>
    <x:xf numFmtId="0" fontId="11" fillId="6" borderId="7" xfId="0" applyNumberFormat="1" applyFont="1" applyFill="1" applyBorder="1" applyAlignment="1">
      <x:alignment vertical="center" wrapText="1"/>
    </x:xf>
    <x:xf numFmtId="0" fontId="11" fillId="6" borderId="8" xfId="0" applyNumberFormat="1" applyFont="1" applyFill="1" applyBorder="1" applyAlignment="1">
      <x:alignment vertical="center" wrapText="1"/>
    </x:xf>
    <x:xf numFmtId="0" fontId="11" fillId="6" borderId="9" xfId="0" applyNumberFormat="1" applyFont="1" applyFill="1" applyBorder="1" applyAlignment="1">
      <x:alignment vertical="center" wrapText="1"/>
    </x:xf>
    <x:xf numFmtId="0" fontId="11" fillId="6" borderId="7" xfId="0" applyNumberFormat="1" applyFont="1" applyFill="1" applyBorder="1" applyAlignment="1">
      <x:alignment horizontal="left" vertical="center" wrapText="1"/>
    </x:xf>
    <x:xf numFmtId="0" fontId="11" fillId="6" borderId="8" xfId="0" applyNumberFormat="1" applyFont="1" applyFill="1" applyBorder="1" applyAlignment="1">
      <x:alignment horizontal="left" vertical="center" wrapText="1"/>
    </x:xf>
    <x:xf numFmtId="0" fontId="11" fillId="6" borderId="9" xfId="0" applyNumberFormat="1" applyFont="1" applyFill="1" applyBorder="1" applyAlignment="1">
      <x:alignment horizontal="left" vertical="center" wrapText="1"/>
    </x:xf>
    <x:xf numFmtId="202" fontId="1" fillId="0" borderId="15" xfId="0" applyNumberFormat="1" applyFont="1" applyFill="1" applyBorder="1" applyAlignment="1">
      <x:alignment vertical="center" wrapText="1"/>
    </x:xf>
    <x:xf numFmtId="202" fontId="1" fillId="0" borderId="18" xfId="0" applyNumberFormat="1" applyFont="1" applyFill="1" applyBorder="1" applyAlignment="1">
      <x:alignment vertical="center" wrapText="1"/>
    </x:xf>
    <x:xf numFmtId="202" fontId="1" fillId="0" borderId="20" xfId="0" applyNumberFormat="1" applyFont="1" applyFill="1" applyBorder="1" applyAlignment="1">
      <x:alignment vertical="center" wrapText="1"/>
    </x:xf>
    <x:xf numFmtId="200" fontId="1" fillId="0" borderId="17" xfId="0" applyNumberFormat="1" applyFont="1" applyFill="1" applyBorder="1" applyAlignment="1">
      <x:alignment vertical="center" wrapText="1"/>
    </x:xf>
    <x:xf numFmtId="200" fontId="1" fillId="0" borderId="19" xfId="0" applyNumberFormat="1" applyFont="1" applyFill="1" applyBorder="1" applyAlignment="1">
      <x:alignment vertical="center" wrapText="1"/>
    </x:xf>
    <x:xf numFmtId="200" fontId="1" fillId="0" borderId="22" xfId="0" applyNumberFormat="1" applyFont="1" applyFill="1" applyBorder="1" applyAlignment="1">
      <x:alignment vertical="center" wrapText="1"/>
    </x:xf>
    <x:xf numFmtId="200" fontId="10" fillId="7" borderId="31" xfId="0" applyNumberFormat="1" applyFont="1" applyFill="1" applyBorder="1" applyAlignment="1">
      <x:alignment vertical="center"/>
    </x:xf>
    <x:xf numFmtId="200" fontId="10" fillId="7" borderId="32" xfId="0" applyNumberFormat="1" applyFont="1" applyFill="1" applyBorder="1" applyAlignment="1">
      <x:alignment vertical="center"/>
    </x:xf>
    <x:xf numFmtId="200" fontId="10" fillId="7" borderId="33" xfId="0" applyNumberFormat="1" applyFont="1" applyFill="1" applyBorder="1" applyAlignment="1">
      <x:alignment vertical="center"/>
    </x:xf>
    <x:xf numFmtId="200" fontId="10" fillId="7" borderId="34" xfId="0" applyNumberFormat="1" applyFont="1" applyFill="1" applyBorder="1" applyAlignment="1">
      <x:alignment vertical="center"/>
    </x:xf>
    <x:xf numFmtId="200" fontId="10" fillId="7" borderId="0" xfId="0" applyNumberFormat="1" applyFont="1" applyFill="1" applyBorder="1" applyAlignment="1">
      <x:alignment vertical="center"/>
    </x:xf>
    <x:xf numFmtId="200" fontId="10" fillId="7" borderId="35" xfId="0" applyNumberFormat="1" applyFont="1" applyFill="1" applyBorder="1" applyAlignment="1">
      <x:alignment vertical="center"/>
    </x:xf>
    <x:xf numFmtId="200" fontId="10" fillId="7" borderId="36" xfId="0" applyNumberFormat="1" applyFont="1" applyFill="1" applyBorder="1" applyAlignment="1">
      <x:alignment vertical="center"/>
    </x:xf>
    <x:xf numFmtId="200" fontId="10" fillId="7" borderId="16" xfId="0" applyNumberFormat="1" applyFont="1" applyFill="1" applyBorder="1" applyAlignment="1">
      <x:alignment vertical="center"/>
    </x:xf>
    <x:xf numFmtId="200" fontId="10" fillId="7" borderId="37" xfId="0" applyNumberFormat="1" applyFont="1" applyFill="1" applyBorder="1" applyAlignment="1">
      <x:alignment vertical="center"/>
    </x:xf>
    <x:xf numFmtId="200" fontId="10" fillId="7" borderId="31" xfId="0" applyNumberFormat="1" applyFont="1" applyFill="1" applyBorder="1" applyAlignment="1">
      <x:alignment horizontal="left" vertical="center"/>
    </x:xf>
    <x:xf numFmtId="200" fontId="10" fillId="7" borderId="32" xfId="0" applyNumberFormat="1" applyFont="1" applyFill="1" applyBorder="1" applyAlignment="1">
      <x:alignment horizontal="left" vertical="center"/>
    </x:xf>
    <x:xf numFmtId="200" fontId="10" fillId="7" borderId="33" xfId="0" applyNumberFormat="1" applyFont="1" applyFill="1" applyBorder="1" applyAlignment="1">
      <x:alignment horizontal="left" vertical="center"/>
    </x:xf>
    <x:xf numFmtId="200" fontId="10" fillId="7" borderId="34" xfId="0" applyNumberFormat="1" applyFont="1" applyFill="1" applyBorder="1" applyAlignment="1">
      <x:alignment horizontal="left" vertical="center"/>
    </x:xf>
    <x:xf numFmtId="200" fontId="10" fillId="7" borderId="0" xfId="0" applyNumberFormat="1" applyFont="1" applyFill="1" applyBorder="1" applyAlignment="1">
      <x:alignment horizontal="left" vertical="center"/>
    </x:xf>
    <x:xf numFmtId="200" fontId="10" fillId="7" borderId="35" xfId="0" applyNumberFormat="1" applyFont="1" applyFill="1" applyBorder="1" applyAlignment="1">
      <x:alignment horizontal="left" vertical="center"/>
    </x:xf>
    <x:xf numFmtId="200" fontId="10" fillId="7" borderId="36" xfId="0" applyNumberFormat="1" applyFont="1" applyFill="1" applyBorder="1" applyAlignment="1">
      <x:alignment horizontal="left" vertical="center"/>
    </x:xf>
    <x:xf numFmtId="200" fontId="10" fillId="7" borderId="16" xfId="0" applyNumberFormat="1" applyFont="1" applyFill="1" applyBorder="1" applyAlignment="1">
      <x:alignment horizontal="left" vertical="center"/>
    </x:xf>
    <x:xf numFmtId="200" fontId="10" fillId="7" borderId="37" xfId="0" applyNumberFormat="1" applyFont="1" applyFill="1" applyBorder="1" applyAlignment="1">
      <x:alignment horizontal="left" vertical="center"/>
    </x:xf>
    <x:xf numFmtId="203" fontId="10" fillId="4" borderId="31" xfId="0" applyNumberFormat="1" applyFont="1" applyFill="1" applyBorder="1" applyAlignment="1">
      <x:alignment vertical="center"/>
    </x:xf>
    <x:xf numFmtId="203" fontId="10" fillId="4" borderId="32" xfId="0" applyNumberFormat="1" applyFont="1" applyFill="1" applyBorder="1" applyAlignment="1">
      <x:alignment vertical="center"/>
    </x:xf>
    <x:xf numFmtId="203" fontId="10" fillId="4" borderId="33" xfId="0" applyNumberFormat="1" applyFont="1" applyFill="1" applyBorder="1" applyAlignment="1">
      <x:alignment vertical="center"/>
    </x:xf>
    <x:xf numFmtId="203" fontId="10" fillId="4" borderId="34" xfId="0" applyNumberFormat="1" applyFont="1" applyFill="1" applyBorder="1" applyAlignment="1">
      <x:alignment vertical="center"/>
    </x:xf>
    <x:xf numFmtId="203" fontId="10" fillId="4" borderId="0" xfId="0" applyNumberFormat="1" applyFont="1" applyFill="1" applyBorder="1" applyAlignment="1">
      <x:alignment vertical="center"/>
    </x:xf>
    <x:xf numFmtId="203" fontId="10" fillId="4" borderId="35" xfId="0" applyNumberFormat="1" applyFont="1" applyFill="1" applyBorder="1" applyAlignment="1">
      <x:alignment vertical="center"/>
    </x:xf>
    <x:xf numFmtId="203" fontId="10" fillId="4" borderId="36" xfId="0" applyNumberFormat="1" applyFont="1" applyFill="1" applyBorder="1" applyAlignment="1">
      <x:alignment vertical="center"/>
    </x:xf>
    <x:xf numFmtId="203" fontId="10" fillId="4" borderId="16" xfId="0" applyNumberFormat="1" applyFont="1" applyFill="1" applyBorder="1" applyAlignment="1">
      <x:alignment vertical="center"/>
    </x:xf>
    <x:xf numFmtId="203" fontId="10" fillId="4" borderId="37" xfId="0" applyNumberFormat="1" applyFont="1" applyFill="1" applyBorder="1" applyAlignment="1">
      <x:alignment vertical="center"/>
    </x:xf>
    <x:xf numFmtId="203" fontId="10" fillId="4" borderId="31" xfId="0" applyNumberFormat="1" applyFont="1" applyFill="1" applyBorder="1" applyAlignment="1">
      <x:alignment horizontal="left" vertical="center"/>
    </x:xf>
    <x:xf numFmtId="203" fontId="10" fillId="4" borderId="32" xfId="0" applyNumberFormat="1" applyFont="1" applyFill="1" applyBorder="1" applyAlignment="1">
      <x:alignment horizontal="left" vertical="center"/>
    </x:xf>
    <x:xf numFmtId="203" fontId="10" fillId="4" borderId="33" xfId="0" applyNumberFormat="1" applyFont="1" applyFill="1" applyBorder="1" applyAlignment="1">
      <x:alignment horizontal="left" vertical="center"/>
    </x:xf>
    <x:xf numFmtId="203" fontId="10" fillId="4" borderId="34" xfId="0" applyNumberFormat="1" applyFont="1" applyFill="1" applyBorder="1" applyAlignment="1">
      <x:alignment horizontal="left" vertical="center"/>
    </x:xf>
    <x:xf numFmtId="203" fontId="10" fillId="4" borderId="0" xfId="0" applyNumberFormat="1" applyFont="1" applyFill="1" applyBorder="1" applyAlignment="1">
      <x:alignment horizontal="left" vertical="center"/>
    </x:xf>
    <x:xf numFmtId="203" fontId="10" fillId="4" borderId="35" xfId="0" applyNumberFormat="1" applyFont="1" applyFill="1" applyBorder="1" applyAlignment="1">
      <x:alignment horizontal="left" vertical="center"/>
    </x:xf>
    <x:xf numFmtId="203" fontId="10" fillId="4" borderId="36" xfId="0" applyNumberFormat="1" applyFont="1" applyFill="1" applyBorder="1" applyAlignment="1">
      <x:alignment horizontal="left" vertical="center"/>
    </x:xf>
    <x:xf numFmtId="203" fontId="10" fillId="4" borderId="16" xfId="0" applyNumberFormat="1" applyFont="1" applyFill="1" applyBorder="1" applyAlignment="1">
      <x:alignment horizontal="left" vertical="center"/>
    </x:xf>
    <x:xf numFmtId="203" fontId="10" fillId="4" borderId="37" xfId="0" applyNumberFormat="1" applyFont="1" applyFill="1" applyBorder="1" applyAlignment="1">
      <x:alignment horizontal="left" vertical="center"/>
    </x:xf>
    <x:xf numFmtId="204" fontId="10" fillId="6" borderId="31" xfId="0" applyNumberFormat="1" applyFont="1" applyFill="1" applyBorder="1" applyAlignment="1">
      <x:alignment vertical="center"/>
    </x:xf>
    <x:xf numFmtId="204" fontId="10" fillId="6" borderId="32" xfId="0" applyNumberFormat="1" applyFont="1" applyFill="1" applyBorder="1" applyAlignment="1">
      <x:alignment vertical="center"/>
    </x:xf>
    <x:xf numFmtId="204" fontId="10" fillId="6" borderId="33" xfId="0" applyNumberFormat="1" applyFont="1" applyFill="1" applyBorder="1" applyAlignment="1">
      <x:alignment vertical="center"/>
    </x:xf>
    <x:xf numFmtId="204" fontId="10" fillId="6" borderId="34" xfId="0" applyNumberFormat="1" applyFont="1" applyFill="1" applyBorder="1" applyAlignment="1">
      <x:alignment vertical="center"/>
    </x:xf>
    <x:xf numFmtId="204" fontId="10" fillId="6" borderId="0" xfId="0" applyNumberFormat="1" applyFont="1" applyFill="1" applyBorder="1" applyAlignment="1">
      <x:alignment vertical="center"/>
    </x:xf>
    <x:xf numFmtId="204" fontId="10" fillId="6" borderId="35" xfId="0" applyNumberFormat="1" applyFont="1" applyFill="1" applyBorder="1" applyAlignment="1">
      <x:alignment vertical="center"/>
    </x:xf>
    <x:xf numFmtId="204" fontId="10" fillId="6" borderId="36" xfId="0" applyNumberFormat="1" applyFont="1" applyFill="1" applyBorder="1" applyAlignment="1">
      <x:alignment vertical="center"/>
    </x:xf>
    <x:xf numFmtId="204" fontId="10" fillId="6" borderId="16" xfId="0" applyNumberFormat="1" applyFont="1" applyFill="1" applyBorder="1" applyAlignment="1">
      <x:alignment vertical="center"/>
    </x:xf>
    <x:xf numFmtId="204" fontId="10" fillId="6" borderId="37" xfId="0" applyNumberFormat="1" applyFont="1" applyFill="1" applyBorder="1" applyAlignment="1">
      <x:alignment vertical="center"/>
    </x:xf>
    <x:xf numFmtId="204" fontId="10" fillId="6" borderId="31" xfId="0" applyNumberFormat="1" applyFont="1" applyFill="1" applyBorder="1" applyAlignment="1">
      <x:alignment horizontal="left" vertical="center"/>
    </x:xf>
    <x:xf numFmtId="204" fontId="10" fillId="6" borderId="32" xfId="0" applyNumberFormat="1" applyFont="1" applyFill="1" applyBorder="1" applyAlignment="1">
      <x:alignment horizontal="left" vertical="center"/>
    </x:xf>
    <x:xf numFmtId="204" fontId="10" fillId="6" borderId="33" xfId="0" applyNumberFormat="1" applyFont="1" applyFill="1" applyBorder="1" applyAlignment="1">
      <x:alignment horizontal="left" vertical="center"/>
    </x:xf>
    <x:xf numFmtId="204" fontId="10" fillId="6" borderId="34" xfId="0" applyNumberFormat="1" applyFont="1" applyFill="1" applyBorder="1" applyAlignment="1">
      <x:alignment horizontal="left" vertical="center"/>
    </x:xf>
    <x:xf numFmtId="204" fontId="10" fillId="6" borderId="0" xfId="0" applyNumberFormat="1" applyFont="1" applyFill="1" applyBorder="1" applyAlignment="1">
      <x:alignment horizontal="left" vertical="center"/>
    </x:xf>
    <x:xf numFmtId="204" fontId="10" fillId="6" borderId="35" xfId="0" applyNumberFormat="1" applyFont="1" applyFill="1" applyBorder="1" applyAlignment="1">
      <x:alignment horizontal="left" vertical="center"/>
    </x:xf>
    <x:xf numFmtId="204" fontId="10" fillId="6" borderId="36" xfId="0" applyNumberFormat="1" applyFont="1" applyFill="1" applyBorder="1" applyAlignment="1">
      <x:alignment horizontal="left" vertical="center"/>
    </x:xf>
    <x:xf numFmtId="204" fontId="10" fillId="6" borderId="16" xfId="0" applyNumberFormat="1" applyFont="1" applyFill="1" applyBorder="1" applyAlignment="1">
      <x:alignment horizontal="left" vertical="center"/>
    </x:xf>
    <x:xf numFmtId="204" fontId="10" fillId="6" borderId="37" xfId="0" applyNumberFormat="1" applyFont="1" applyFill="1" applyBorder="1" applyAlignment="1">
      <x:alignment horizontal="left" vertical="center"/>
    </x:xf>
    <x:xf numFmtId="200" fontId="1" fillId="0" borderId="16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1" fillId="0" borderId="21" xfId="0" applyNumberFormat="1" applyFont="1" applyFill="1" applyBorder="1" applyAlignment="1">
      <x:alignment vertical="center" wrapText="1"/>
    </x:xf>
    <x:xf numFmtId="203" fontId="1" fillId="0" borderId="16" xfId="0" applyNumberFormat="1" applyFont="1" applyFill="1" applyBorder="1" applyAlignment="1">
      <x:alignment vertical="center" wrapText="1"/>
    </x:xf>
    <x:xf numFmtId="203" fontId="1" fillId="0" borderId="21" xfId="0" applyNumberFormat="1" applyFont="1" applyFill="1" applyBorder="1" applyAlignment="1">
      <x:alignment vertical="center" wrapText="1"/>
    </x:xf>
    <x:xf numFmtId="203" fontId="1" fillId="0" borderId="8" xfId="0" applyNumberFormat="1" applyFont="1" applyFill="1" applyBorder="1" applyAlignment="1">
      <x:alignment vertical="center" wrapText="1"/>
    </x:xf>
    <x:xf numFmtId="203" fontId="10" fillId="7" borderId="31" xfId="0" applyNumberFormat="1" applyFont="1" applyFill="1" applyBorder="1" applyAlignment="1">
      <x:alignment vertical="center"/>
    </x:xf>
    <x:xf numFmtId="203" fontId="10" fillId="7" borderId="32" xfId="0" applyNumberFormat="1" applyFont="1" applyFill="1" applyBorder="1" applyAlignment="1">
      <x:alignment vertical="center"/>
    </x:xf>
    <x:xf numFmtId="203" fontId="10" fillId="7" borderId="33" xfId="0" applyNumberFormat="1" applyFont="1" applyFill="1" applyBorder="1" applyAlignment="1">
      <x:alignment vertical="center"/>
    </x:xf>
    <x:xf numFmtId="203" fontId="10" fillId="7" borderId="34" xfId="0" applyNumberFormat="1" applyFont="1" applyFill="1" applyBorder="1" applyAlignment="1">
      <x:alignment vertical="center"/>
    </x:xf>
    <x:xf numFmtId="203" fontId="10" fillId="7" borderId="0" xfId="0" applyNumberFormat="1" applyFont="1" applyFill="1" applyBorder="1" applyAlignment="1">
      <x:alignment vertical="center"/>
    </x:xf>
    <x:xf numFmtId="203" fontId="10" fillId="7" borderId="35" xfId="0" applyNumberFormat="1" applyFont="1" applyFill="1" applyBorder="1" applyAlignment="1">
      <x:alignment vertical="center"/>
    </x:xf>
    <x:xf numFmtId="203" fontId="10" fillId="7" borderId="36" xfId="0" applyNumberFormat="1" applyFont="1" applyFill="1" applyBorder="1" applyAlignment="1">
      <x:alignment vertical="center"/>
    </x:xf>
    <x:xf numFmtId="203" fontId="10" fillId="7" borderId="16" xfId="0" applyNumberFormat="1" applyFont="1" applyFill="1" applyBorder="1" applyAlignment="1">
      <x:alignment vertical="center"/>
    </x:xf>
    <x:xf numFmtId="203" fontId="10" fillId="7" borderId="37" xfId="0" applyNumberFormat="1" applyFont="1" applyFill="1" applyBorder="1" applyAlignment="1">
      <x:alignment vertical="center"/>
    </x:xf>
    <x:xf numFmtId="203" fontId="10" fillId="7" borderId="31" xfId="0" applyNumberFormat="1" applyFont="1" applyFill="1" applyBorder="1" applyAlignment="1">
      <x:alignment horizontal="left" vertical="center"/>
    </x:xf>
    <x:xf numFmtId="203" fontId="10" fillId="7" borderId="32" xfId="0" applyNumberFormat="1" applyFont="1" applyFill="1" applyBorder="1" applyAlignment="1">
      <x:alignment horizontal="left" vertical="center"/>
    </x:xf>
    <x:xf numFmtId="203" fontId="10" fillId="7" borderId="33" xfId="0" applyNumberFormat="1" applyFont="1" applyFill="1" applyBorder="1" applyAlignment="1">
      <x:alignment horizontal="left" vertical="center"/>
    </x:xf>
    <x:xf numFmtId="203" fontId="10" fillId="7" borderId="34" xfId="0" applyNumberFormat="1" applyFont="1" applyFill="1" applyBorder="1" applyAlignment="1">
      <x:alignment horizontal="left" vertical="center"/>
    </x:xf>
    <x:xf numFmtId="203" fontId="10" fillId="7" borderId="0" xfId="0" applyNumberFormat="1" applyFont="1" applyFill="1" applyBorder="1" applyAlignment="1">
      <x:alignment horizontal="left" vertical="center"/>
    </x:xf>
    <x:xf numFmtId="203" fontId="10" fillId="7" borderId="35" xfId="0" applyNumberFormat="1" applyFont="1" applyFill="1" applyBorder="1" applyAlignment="1">
      <x:alignment horizontal="left" vertical="center"/>
    </x:xf>
    <x:xf numFmtId="203" fontId="10" fillId="7" borderId="36" xfId="0" applyNumberFormat="1" applyFont="1" applyFill="1" applyBorder="1" applyAlignment="1">
      <x:alignment horizontal="left" vertical="center"/>
    </x:xf>
    <x:xf numFmtId="203" fontId="10" fillId="7" borderId="16" xfId="0" applyNumberFormat="1" applyFont="1" applyFill="1" applyBorder="1" applyAlignment="1">
      <x:alignment horizontal="left" vertical="center"/>
    </x:xf>
    <x:xf numFmtId="203" fontId="10" fillId="7" borderId="37" xfId="0" applyNumberFormat="1" applyFont="1" applyFill="1" applyBorder="1" applyAlignment="1">
      <x:alignment horizontal="left" vertical="center"/>
    </x:xf>
    <x:xf numFmtId="203" fontId="10" fillId="6" borderId="31" xfId="0" applyNumberFormat="1" applyFont="1" applyFill="1" applyBorder="1" applyAlignment="1">
      <x:alignment vertical="center"/>
    </x:xf>
    <x:xf numFmtId="203" fontId="10" fillId="6" borderId="32" xfId="0" applyNumberFormat="1" applyFont="1" applyFill="1" applyBorder="1" applyAlignment="1">
      <x:alignment vertical="center"/>
    </x:xf>
    <x:xf numFmtId="203" fontId="10" fillId="6" borderId="33" xfId="0" applyNumberFormat="1" applyFont="1" applyFill="1" applyBorder="1" applyAlignment="1">
      <x:alignment vertical="center"/>
    </x:xf>
    <x:xf numFmtId="203" fontId="10" fillId="6" borderId="34" xfId="0" applyNumberFormat="1" applyFont="1" applyFill="1" applyBorder="1" applyAlignment="1">
      <x:alignment vertical="center"/>
    </x:xf>
    <x:xf numFmtId="203" fontId="10" fillId="6" borderId="0" xfId="0" applyNumberFormat="1" applyFont="1" applyFill="1" applyBorder="1" applyAlignment="1">
      <x:alignment vertical="center"/>
    </x:xf>
    <x:xf numFmtId="203" fontId="10" fillId="6" borderId="35" xfId="0" applyNumberFormat="1" applyFont="1" applyFill="1" applyBorder="1" applyAlignment="1">
      <x:alignment vertical="center"/>
    </x:xf>
    <x:xf numFmtId="203" fontId="10" fillId="6" borderId="36" xfId="0" applyNumberFormat="1" applyFont="1" applyFill="1" applyBorder="1" applyAlignment="1">
      <x:alignment vertical="center"/>
    </x:xf>
    <x:xf numFmtId="203" fontId="10" fillId="6" borderId="16" xfId="0" applyNumberFormat="1" applyFont="1" applyFill="1" applyBorder="1" applyAlignment="1">
      <x:alignment vertical="center"/>
    </x:xf>
    <x:xf numFmtId="203" fontId="10" fillId="6" borderId="37" xfId="0" applyNumberFormat="1" applyFont="1" applyFill="1" applyBorder="1" applyAlignment="1">
      <x:alignment vertical="center"/>
    </x:xf>
    <x:xf numFmtId="203" fontId="10" fillId="6" borderId="31" xfId="0" applyNumberFormat="1" applyFont="1" applyFill="1" applyBorder="1" applyAlignment="1">
      <x:alignment horizontal="left" vertical="center"/>
    </x:xf>
    <x:xf numFmtId="203" fontId="10" fillId="6" borderId="32" xfId="0" applyNumberFormat="1" applyFont="1" applyFill="1" applyBorder="1" applyAlignment="1">
      <x:alignment horizontal="left" vertical="center"/>
    </x:xf>
    <x:xf numFmtId="203" fontId="10" fillId="6" borderId="33" xfId="0" applyNumberFormat="1" applyFont="1" applyFill="1" applyBorder="1" applyAlignment="1">
      <x:alignment horizontal="left" vertical="center"/>
    </x:xf>
    <x:xf numFmtId="203" fontId="10" fillId="6" borderId="34" xfId="0" applyNumberFormat="1" applyFont="1" applyFill="1" applyBorder="1" applyAlignment="1">
      <x:alignment horizontal="left" vertical="center"/>
    </x:xf>
    <x:xf numFmtId="203" fontId="10" fillId="6" borderId="0" xfId="0" applyNumberFormat="1" applyFont="1" applyFill="1" applyBorder="1" applyAlignment="1">
      <x:alignment horizontal="left" vertical="center"/>
    </x:xf>
    <x:xf numFmtId="203" fontId="10" fillId="6" borderId="35" xfId="0" applyNumberFormat="1" applyFont="1" applyFill="1" applyBorder="1" applyAlignment="1">
      <x:alignment horizontal="left" vertical="center"/>
    </x:xf>
    <x:xf numFmtId="203" fontId="10" fillId="6" borderId="36" xfId="0" applyNumberFormat="1" applyFont="1" applyFill="1" applyBorder="1" applyAlignment="1">
      <x:alignment horizontal="left" vertical="center"/>
    </x:xf>
    <x:xf numFmtId="203" fontId="10" fillId="6" borderId="16" xfId="0" applyNumberFormat="1" applyFont="1" applyFill="1" applyBorder="1" applyAlignment="1">
      <x:alignment horizontal="left" vertical="center"/>
    </x:xf>
    <x:xf numFmtId="203" fontId="10" fillId="6" borderId="37" xfId="0" applyNumberFormat="1" applyFont="1" applyFill="1" applyBorder="1" applyAlignment="1">
      <x:alignment horizontal="left" vertical="center"/>
    </x:xf>
    <x:xf numFmtId="203" fontId="1" fillId="0" borderId="17" xfId="0" applyNumberFormat="1" applyFont="1" applyFill="1" applyBorder="1" applyAlignment="1">
      <x:alignment vertical="center" wrapText="1"/>
    </x:xf>
    <x:xf numFmtId="203" fontId="1" fillId="0" borderId="19" xfId="0" applyNumberFormat="1" applyFont="1" applyFill="1" applyBorder="1" applyAlignment="1">
      <x:alignment vertical="center" wrapText="1"/>
    </x:xf>
    <x:xf numFmtId="203" fontId="1" fillId="0" borderId="22" xfId="0" applyNumberFormat="1" applyFont="1" applyFill="1" applyBorder="1" applyAlignment="1">
      <x:alignment vertical="center" wrapText="1"/>
    </x:xf>
    <x:xf numFmtId="0" fontId="1" fillId="3" borderId="20" xfId="0" applyNumberFormat="1" applyFont="1" applyFill="1" applyBorder="1" applyAlignment="1">
      <x:alignment vertical="center" wrapText="1"/>
    </x:xf>
    <x:xf numFmtId="200" fontId="1" fillId="3" borderId="21" xfId="0" applyNumberFormat="1" applyFont="1" applyFill="1" applyBorder="1" applyAlignment="1">
      <x:alignment vertical="center" wrapText="1"/>
    </x:xf>
    <x:xf numFmtId="203" fontId="1" fillId="3" borderId="21" xfId="0" applyNumberFormat="1" applyFont="1" applyFill="1" applyBorder="1" applyAlignment="1">
      <x:alignment vertical="center" wrapText="1"/>
    </x:xf>
    <x:xf numFmtId="203" fontId="1" fillId="3" borderId="22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200" fontId="5" fillId="3" borderId="21" xfId="0" applyNumberFormat="1" applyFont="1" applyFill="1" applyBorder="1" applyAlignment="1">
      <x:alignment vertical="center" wrapText="1"/>
    </x:xf>
    <x:xf numFmtId="203" fontId="5" fillId="3" borderId="21" xfId="0" applyNumberFormat="1" applyFont="1" applyFill="1" applyBorder="1" applyAlignment="1">
      <x:alignment vertical="center" wrapText="1"/>
    </x:xf>
    <x:xf numFmtId="203" fontId="5" fillId="3" borderId="22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200" fontId="5" fillId="3" borderId="14" xfId="0" applyNumberFormat="1" applyFont="1" applyFill="1" applyBorder="1" applyAlignment="1">
      <x:alignment vertical="center" wrapText="1"/>
    </x:xf>
    <x:xf numFmtId="203" fontId="5" fillId="3" borderId="14" xfId="0" applyNumberFormat="1" applyFont="1" applyFill="1" applyBorder="1" applyAlignment="1">
      <x:alignment vertical="center" wrapText="1"/>
    </x:xf>
    <x:xf numFmtId="200" fontId="1" fillId="3" borderId="22" xfId="0" applyNumberFormat="1" applyFont="1" applyFill="1" applyBorder="1" applyAlignment="1">
      <x:alignment vertical="center" wrapText="1"/>
    </x:xf>
    <x:xf numFmtId="200" fontId="5" fillId="3" borderId="22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/>
    </x:xf>
    <x:xf numFmtId="0" fontId="12" fillId="7" borderId="38" xfId="0" applyNumberFormat="1" applyFont="1" applyFill="1" applyBorder="1" applyAlignment="1">
      <x:alignment vertical="center"/>
    </x:xf>
    <x:xf numFmtId="0" fontId="12" fillId="7" borderId="39" xfId="0" applyNumberFormat="1" applyFont="1" applyFill="1" applyBorder="1" applyAlignment="1">
      <x:alignment vertical="center"/>
    </x:xf>
    <x:xf numFmtId="0" fontId="12" fillId="7" borderId="40" xfId="0" applyNumberFormat="1" applyFont="1" applyFill="1" applyBorder="1" applyAlignment="1">
      <x:alignment vertical="center"/>
    </x:xf>
    <x:xf numFmtId="0" fontId="12" fillId="7" borderId="41" xfId="0" applyNumberFormat="1" applyFont="1" applyFill="1" applyBorder="1" applyAlignment="1">
      <x:alignment vertical="center"/>
    </x:xf>
    <x:xf numFmtId="0" fontId="12" fillId="7" borderId="42" xfId="0" applyNumberFormat="1" applyFont="1" applyFill="1" applyBorder="1" applyAlignment="1">
      <x:alignment vertical="center"/>
    </x:xf>
    <x:xf numFmtId="0" fontId="12" fillId="7" borderId="43" xfId="0" applyNumberFormat="1" applyFont="1" applyFill="1" applyBorder="1" applyAlignment="1">
      <x:alignment vertical="center"/>
    </x:xf>
    <x:xf numFmtId="0" fontId="12" fillId="7" borderId="44" xfId="0" applyNumberFormat="1" applyFont="1" applyFill="1" applyBorder="1" applyAlignment="1">
      <x:alignment vertical="center"/>
    </x:xf>
    <x:xf numFmtId="0" fontId="12" fillId="7" borderId="45" xfId="0" applyNumberFormat="1" applyFont="1" applyFill="1" applyBorder="1" applyAlignment="1">
      <x:alignment vertical="center"/>
    </x:xf>
    <x:xf numFmtId="0" fontId="12" fillId="7" borderId="38" xfId="0" applyNumberFormat="1" applyFont="1" applyFill="1" applyBorder="1" applyAlignment="1">
      <x:alignment vertical="center" wrapText="1"/>
    </x:xf>
    <x:xf numFmtId="0" fontId="12" fillId="7" borderId="39" xfId="0" applyNumberFormat="1" applyFont="1" applyFill="1" applyBorder="1" applyAlignment="1">
      <x:alignment vertical="center" wrapText="1"/>
    </x:xf>
    <x:xf numFmtId="0" fontId="12" fillId="7" borderId="40" xfId="0" applyNumberFormat="1" applyFont="1" applyFill="1" applyBorder="1" applyAlignment="1">
      <x:alignment vertical="center" wrapText="1"/>
    </x:xf>
    <x:xf numFmtId="0" fontId="12" fillId="7" borderId="41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42" xfId="0" applyNumberFormat="1" applyFont="1" applyFill="1" applyBorder="1" applyAlignment="1">
      <x:alignment vertical="center" wrapText="1"/>
    </x:xf>
    <x:xf numFmtId="0" fontId="12" fillId="7" borderId="43" xfId="0" applyNumberFormat="1" applyFont="1" applyFill="1" applyBorder="1" applyAlignment="1">
      <x:alignment vertical="center" wrapText="1"/>
    </x:xf>
    <x:xf numFmtId="0" fontId="12" fillId="7" borderId="44" xfId="0" applyNumberFormat="1" applyFont="1" applyFill="1" applyBorder="1" applyAlignment="1">
      <x:alignment vertical="center" wrapText="1"/>
    </x:xf>
    <x:xf numFmtId="0" fontId="12" fillId="7" borderId="45" xfId="0" applyNumberFormat="1" applyFont="1" applyFill="1" applyBorder="1" applyAlignment="1">
      <x:alignment vertical="center" wrapText="1"/>
    </x:xf>
    <x:xf numFmtId="0" fontId="12" fillId="7" borderId="38" xfId="0" applyNumberFormat="1" applyFont="1" applyFill="1" applyBorder="1" applyAlignment="1">
      <x:alignment horizontal="left" vertical="center" wrapText="1"/>
    </x:xf>
    <x:xf numFmtId="0" fontId="12" fillId="7" borderId="39" xfId="0" applyNumberFormat="1" applyFont="1" applyFill="1" applyBorder="1" applyAlignment="1">
      <x:alignment horizontal="left" vertical="center" wrapText="1"/>
    </x:xf>
    <x:xf numFmtId="0" fontId="12" fillId="7" borderId="40" xfId="0" applyNumberFormat="1" applyFont="1" applyFill="1" applyBorder="1" applyAlignment="1">
      <x:alignment horizontal="left" vertical="center" wrapText="1"/>
    </x:xf>
    <x:xf numFmtId="0" fontId="12" fillId="7" borderId="41" xfId="0" applyNumberFormat="1" applyFont="1" applyFill="1" applyBorder="1" applyAlignment="1">
      <x:alignment horizontal="left" vertical="center" wrapText="1"/>
    </x:xf>
    <x:xf numFmtId="0" fontId="12" fillId="7" borderId="0" xfId="0" applyNumberFormat="1" applyFont="1" applyFill="1" applyBorder="1" applyAlignment="1">
      <x:alignment horizontal="left" vertical="center" wrapText="1"/>
    </x:xf>
    <x:xf numFmtId="0" fontId="12" fillId="7" borderId="42" xfId="0" applyNumberFormat="1" applyFont="1" applyFill="1" applyBorder="1" applyAlignment="1">
      <x:alignment horizontal="left" vertical="center" wrapText="1"/>
    </x:xf>
    <x:xf numFmtId="0" fontId="12" fillId="7" borderId="43" xfId="0" applyNumberFormat="1" applyFont="1" applyFill="1" applyBorder="1" applyAlignment="1">
      <x:alignment horizontal="left" vertical="center" wrapText="1"/>
    </x:xf>
    <x:xf numFmtId="0" fontId="12" fillId="7" borderId="44" xfId="0" applyNumberFormat="1" applyFont="1" applyFill="1" applyBorder="1" applyAlignment="1">
      <x:alignment horizontal="left" vertical="center" wrapText="1"/>
    </x:xf>
    <x:xf numFmtId="0" fontId="12" fillId="7" borderId="45" xfId="0" applyNumberFormat="1" applyFont="1" applyFill="1" applyBorder="1" applyAlignment="1">
      <x:alignment horizontal="left" vertical="center" wrapText="1"/>
    </x:xf>
    <x:xf numFmtId="205" fontId="10" fillId="7" borderId="31" xfId="0" applyNumberFormat="1" applyFont="1" applyFill="1" applyBorder="1" applyAlignment="1">
      <x:alignment vertical="center"/>
    </x:xf>
    <x:xf numFmtId="205" fontId="10" fillId="7" borderId="32" xfId="0" applyNumberFormat="1" applyFont="1" applyFill="1" applyBorder="1" applyAlignment="1">
      <x:alignment vertical="center"/>
    </x:xf>
    <x:xf numFmtId="205" fontId="10" fillId="7" borderId="33" xfId="0" applyNumberFormat="1" applyFont="1" applyFill="1" applyBorder="1" applyAlignment="1">
      <x:alignment vertical="center"/>
    </x:xf>
    <x:xf numFmtId="205" fontId="10" fillId="7" borderId="34" xfId="0" applyNumberFormat="1" applyFont="1" applyFill="1" applyBorder="1" applyAlignment="1">
      <x:alignment vertical="center"/>
    </x:xf>
    <x:xf numFmtId="205" fontId="10" fillId="7" borderId="0" xfId="0" applyNumberFormat="1" applyFont="1" applyFill="1" applyBorder="1" applyAlignment="1">
      <x:alignment vertical="center"/>
    </x:xf>
    <x:xf numFmtId="205" fontId="10" fillId="7" borderId="35" xfId="0" applyNumberFormat="1" applyFont="1" applyFill="1" applyBorder="1" applyAlignment="1">
      <x:alignment vertical="center"/>
    </x:xf>
    <x:xf numFmtId="205" fontId="10" fillId="7" borderId="36" xfId="0" applyNumberFormat="1" applyFont="1" applyFill="1" applyBorder="1" applyAlignment="1">
      <x:alignment vertical="center"/>
    </x:xf>
    <x:xf numFmtId="205" fontId="10" fillId="7" borderId="16" xfId="0" applyNumberFormat="1" applyFont="1" applyFill="1" applyBorder="1" applyAlignment="1">
      <x:alignment vertical="center"/>
    </x:xf>
    <x:xf numFmtId="205" fontId="10" fillId="7" borderId="37" xfId="0" applyNumberFormat="1" applyFont="1" applyFill="1" applyBorder="1" applyAlignment="1">
      <x:alignment vertical="center"/>
    </x:xf>
    <x:xf numFmtId="205" fontId="10" fillId="7" borderId="31" xfId="0" applyNumberFormat="1" applyFont="1" applyFill="1" applyBorder="1" applyAlignment="1">
      <x:alignment horizontal="left" vertical="center"/>
    </x:xf>
    <x:xf numFmtId="205" fontId="10" fillId="7" borderId="32" xfId="0" applyNumberFormat="1" applyFont="1" applyFill="1" applyBorder="1" applyAlignment="1">
      <x:alignment horizontal="left" vertical="center"/>
    </x:xf>
    <x:xf numFmtId="205" fontId="10" fillId="7" borderId="33" xfId="0" applyNumberFormat="1" applyFont="1" applyFill="1" applyBorder="1" applyAlignment="1">
      <x:alignment horizontal="left" vertical="center"/>
    </x:xf>
    <x:xf numFmtId="205" fontId="10" fillId="7" borderId="34" xfId="0" applyNumberFormat="1" applyFont="1" applyFill="1" applyBorder="1" applyAlignment="1">
      <x:alignment horizontal="left" vertical="center"/>
    </x:xf>
    <x:xf numFmtId="205" fontId="10" fillId="7" borderId="0" xfId="0" applyNumberFormat="1" applyFont="1" applyFill="1" applyBorder="1" applyAlignment="1">
      <x:alignment horizontal="left" vertical="center"/>
    </x:xf>
    <x:xf numFmtId="205" fontId="10" fillId="7" borderId="35" xfId="0" applyNumberFormat="1" applyFont="1" applyFill="1" applyBorder="1" applyAlignment="1">
      <x:alignment horizontal="left" vertical="center"/>
    </x:xf>
    <x:xf numFmtId="205" fontId="10" fillId="7" borderId="36" xfId="0" applyNumberFormat="1" applyFont="1" applyFill="1" applyBorder="1" applyAlignment="1">
      <x:alignment horizontal="left" vertical="center"/>
    </x:xf>
    <x:xf numFmtId="205" fontId="10" fillId="7" borderId="16" xfId="0" applyNumberFormat="1" applyFont="1" applyFill="1" applyBorder="1" applyAlignment="1">
      <x:alignment horizontal="left" vertical="center"/>
    </x:xf>
    <x:xf numFmtId="205" fontId="10" fillId="7" borderId="37" xfId="0" applyNumberFormat="1" applyFont="1" applyFill="1" applyBorder="1" applyAlignment="1">
      <x:alignment horizontal="left" vertical="center"/>
    </x:xf>
    <x:xf numFmtId="205" fontId="1" fillId="0" borderId="16" xfId="0" applyNumberFormat="1" applyFont="1" applyFill="1" applyBorder="1" applyAlignment="1">
      <x:alignment vertical="center" wrapText="1"/>
    </x:xf>
    <x:xf numFmtId="205" fontId="1" fillId="0" borderId="8" xfId="0" applyNumberFormat="1" applyFont="1" applyFill="1" applyBorder="1" applyAlignment="1">
      <x:alignment vertical="center" wrapText="1"/>
    </x:xf>
    <x:xf numFmtId="205" fontId="1" fillId="0" borderId="21" xfId="0" applyNumberFormat="1" applyFont="1" applyFill="1" applyBorder="1" applyAlignment="1">
      <x:alignment vertical="center" wrapText="1"/>
    </x:xf>
    <x:xf numFmtId="0" fontId="1" fillId="4" borderId="15" xfId="0" applyNumberFormat="1" applyFont="1" applyFill="1" applyBorder="1" applyAlignment="1">
      <x:alignment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7" fillId="4" borderId="15" xfId="0" applyNumberFormat="1" applyFont="1" applyFill="1" applyBorder="1" applyAlignment="1">
      <x:alignment vertical="center" wrapText="1"/>
    </x:xf>
    <x:xf numFmtId="0" fontId="7" fillId="4" borderId="18" xfId="0" applyNumberFormat="1" applyFont="1" applyFill="1" applyBorder="1" applyAlignment="1">
      <x:alignment vertical="center" wrapText="1"/>
    </x:xf>
    <x:xf numFmtId="0" fontId="7" fillId="4" borderId="20" xfId="0" applyNumberFormat="1" applyFont="1" applyFill="1" applyBorder="1" applyAlignment="1">
      <x:alignment vertical="center" wrapText="1"/>
    </x:xf>
    <x:xf numFmtId="0" fontId="7" fillId="4" borderId="13" xfId="0" applyNumberFormat="1" applyFont="1" applyFill="1" applyBorder="1" applyAlignment="1">
      <x:alignment vertical="center" wrapText="1"/>
    </x:xf>
    <x:xf numFmtId="0" fontId="7" fillId="4" borderId="13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horizontal="center" vertical="center"/>
    </x:xf>
    <x:xf numFmtId="0" fontId="13" fillId="7" borderId="13" xfId="0" applyNumberFormat="1" applyFont="1" applyFill="1" applyBorder="1" applyAlignment="1">
      <x:alignment horizontal="center" vertical="center"/>
    </x:xf>
    <x:xf numFmtId="0" fontId="1" fillId="3" borderId="15" xfId="0" applyNumberFormat="1" applyFont="1" applyFill="1" applyBorder="1" applyAlignment="1">
      <x:alignment vertical="center" wrapText="1"/>
    </x:xf>
    <x:xf numFmtId="0" fontId="1" fillId="3" borderId="18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horizontal="center" vertical="center" wrapText="1"/>
    </x:xf>
    <x:xf numFmtId="0" fontId="1" fillId="6" borderId="17" xfId="0" applyNumberFormat="1" applyFont="1" applyFill="1" applyBorder="1" applyAlignment="1">
      <x:alignment vertical="center" wrapText="1"/>
    </x:xf>
    <x:xf numFmtId="0" fontId="1" fillId="6" borderId="19" xfId="0" applyNumberFormat="1" applyFont="1" applyFill="1" applyBorder="1" applyAlignment="1">
      <x:alignment vertical="center" wrapText="1"/>
    </x:xf>
    <x:xf numFmtId="0" fontId="1" fillId="6" borderId="22" xfId="0" applyNumberFormat="1" applyFont="1" applyFill="1" applyBorder="1" applyAlignment="1">
      <x:alignment vertical="center" wrapText="1"/>
    </x:xf>
    <x:xf numFmtId="0" fontId="14" fillId="6" borderId="17" xfId="0" applyNumberFormat="1" applyFont="1" applyFill="1" applyBorder="1" applyAlignment="1">
      <x:alignment vertical="center" wrapText="1"/>
    </x:xf>
    <x:xf numFmtId="0" fontId="14" fillId="6" borderId="19" xfId="0" applyNumberFormat="1" applyFont="1" applyFill="1" applyBorder="1" applyAlignment="1">
      <x:alignment vertical="center" wrapText="1"/>
    </x:xf>
    <x:xf numFmtId="0" fontId="14" fillId="6" borderId="22" xfId="0" applyNumberFormat="1" applyFont="1" applyFill="1" applyBorder="1" applyAlignment="1">
      <x:alignment vertical="center" wrapText="1"/>
    </x:xf>
    <x:xf numFmtId="0" fontId="14" fillId="6" borderId="13" xfId="0" applyNumberFormat="1" applyFont="1" applyFill="1" applyBorder="1" applyAlignment="1">
      <x:alignment vertical="center" wrapText="1"/>
    </x:xf>
    <x:xf numFmtId="0" fontId="14" fillId="6" borderId="13" xfId="0" applyNumberFormat="1" applyFont="1" applyFill="1" applyBorder="1" applyAlignment="1">
      <x:alignment horizontal="center" vertical="center" wrapText="1"/>
    </x:xf>
    <x:xf numFmtId="0" fontId="15" fillId="3" borderId="0" xfId="0" applyNumberFormat="1" applyFont="1" applyFill="1" applyBorder="1" applyAlignment="1">
      <x:alignment vertical="center"/>
    </x:xf>
    <x:xf numFmtId="0" fontId="15" fillId="3" borderId="7" xfId="0" applyNumberFormat="1" applyFont="1" applyFill="1" applyBorder="1" applyAlignment="1">
      <x:alignment vertical="center"/>
    </x:xf>
    <x:xf numFmtId="0" fontId="15" fillId="3" borderId="8" xfId="0" applyNumberFormat="1" applyFont="1" applyFill="1" applyBorder="1" applyAlignment="1">
      <x:alignment vertical="center"/>
    </x:xf>
    <x:xf numFmtId="0" fontId="15" fillId="3" borderId="9" xfId="0" applyNumberFormat="1" applyFont="1" applyFill="1" applyBorder="1" applyAlignment="1">
      <x:alignment vertical="center"/>
    </x:xf>
    <x:xf numFmtId="0" fontId="15" fillId="3" borderId="7" xfId="0" applyNumberFormat="1" applyFont="1" applyFill="1" applyBorder="1" applyAlignment="1">
      <x:alignment vertical="center" wrapText="1"/>
    </x:xf>
    <x:xf numFmtId="0" fontId="15" fillId="3" borderId="8" xfId="0" applyNumberFormat="1" applyFont="1" applyFill="1" applyBorder="1" applyAlignment="1">
      <x:alignment vertical="center" wrapText="1"/>
    </x:xf>
    <x:xf numFmtId="0" fontId="15" fillId="3" borderId="9" xfId="0" applyNumberFormat="1" applyFont="1" applyFill="1" applyBorder="1" applyAlignment="1">
      <x:alignment vertical="center" wrapText="1"/>
    </x:xf>
    <x:xf numFmtId="0" fontId="15" fillId="3" borderId="7" xfId="0" applyNumberFormat="1" applyFont="1" applyFill="1" applyBorder="1" applyAlignment="1">
      <x:alignment horizontal="left" vertical="center" wrapText="1"/>
    </x:xf>
    <x:xf numFmtId="0" fontId="15" fillId="3" borderId="8" xfId="0" applyNumberFormat="1" applyFont="1" applyFill="1" applyBorder="1" applyAlignment="1">
      <x:alignment horizontal="left" vertical="center" wrapText="1"/>
    </x:xf>
    <x:xf numFmtId="0" fontId="15" fillId="3" borderId="9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6" fillId="8" borderId="7" xfId="0" applyNumberFormat="1" applyFont="1" applyFill="1" applyBorder="1" applyAlignment="1">
      <x:alignment vertical="center"/>
    </x:xf>
    <x:xf numFmtId="0" fontId="16" fillId="8" borderId="8" xfId="0" applyNumberFormat="1" applyFont="1" applyFill="1" applyBorder="1" applyAlignment="1">
      <x:alignment vertical="center"/>
    </x:xf>
    <x:xf numFmtId="0" fontId="16" fillId="8" borderId="9" xfId="0" applyNumberFormat="1" applyFont="1" applyFill="1" applyBorder="1" applyAlignment="1">
      <x:alignment vertical="center"/>
    </x:xf>
    <x:xf numFmtId="0" fontId="16" fillId="8" borderId="7" xfId="0" applyNumberFormat="1" applyFont="1" applyFill="1" applyBorder="1" applyAlignment="1">
      <x:alignment vertical="center" wrapText="1"/>
    </x:xf>
    <x:xf numFmtId="0" fontId="16" fillId="8" borderId="8" xfId="0" applyNumberFormat="1" applyFont="1" applyFill="1" applyBorder="1" applyAlignment="1">
      <x:alignment vertical="center" wrapText="1"/>
    </x:xf>
    <x:xf numFmtId="0" fontId="16" fillId="8" borderId="9" xfId="0" applyNumberFormat="1" applyFont="1" applyFill="1" applyBorder="1" applyAlignment="1">
      <x:alignment vertical="center" wrapText="1"/>
    </x:xf>
    <x:xf numFmtId="0" fontId="16" fillId="8" borderId="7" xfId="0" applyNumberFormat="1" applyFont="1" applyFill="1" applyBorder="1" applyAlignment="1">
      <x:alignment horizontal="left" vertical="center" wrapText="1"/>
    </x:xf>
    <x:xf numFmtId="0" fontId="16" fillId="8" borderId="8" xfId="0" applyNumberFormat="1" applyFont="1" applyFill="1" applyBorder="1" applyAlignment="1">
      <x:alignment horizontal="left" vertical="center" wrapText="1"/>
    </x:xf>
    <x:xf numFmtId="0" fontId="16" fillId="8" borderId="9" xfId="0" applyNumberFormat="1" applyFont="1" applyFill="1" applyBorder="1" applyAlignment="1">
      <x:alignment horizontal="left" vertical="center" wrapText="1"/>
    </x:xf>
    <x:xf numFmtId="0" fontId="11" fillId="4" borderId="31" xfId="0" applyNumberFormat="1" applyFont="1" applyFill="1" applyBorder="1" applyAlignment="1">
      <x:alignment vertical="center"/>
    </x:xf>
    <x:xf numFmtId="0" fontId="11" fillId="4" borderId="32" xfId="0" applyNumberFormat="1" applyFont="1" applyFill="1" applyBorder="1" applyAlignment="1">
      <x:alignment vertical="center"/>
    </x:xf>
    <x:xf numFmtId="0" fontId="11" fillId="4" borderId="33" xfId="0" applyNumberFormat="1" applyFont="1" applyFill="1" applyBorder="1" applyAlignment="1">
      <x:alignment vertical="center"/>
    </x:xf>
    <x:xf numFmtId="0" fontId="11" fillId="4" borderId="36" xfId="0" applyNumberFormat="1" applyFont="1" applyFill="1" applyBorder="1" applyAlignment="1">
      <x:alignment vertical="center"/>
    </x:xf>
    <x:xf numFmtId="0" fontId="11" fillId="4" borderId="16" xfId="0" applyNumberFormat="1" applyFont="1" applyFill="1" applyBorder="1" applyAlignment="1">
      <x:alignment vertical="center"/>
    </x:xf>
    <x:xf numFmtId="0" fontId="11" fillId="4" borderId="37" xfId="0" applyNumberFormat="1" applyFont="1" applyFill="1" applyBorder="1" applyAlignment="1">
      <x:alignment vertical="center"/>
    </x:xf>
    <x:xf numFmtId="0" fontId="11" fillId="4" borderId="31" xfId="0" applyNumberFormat="1" applyFont="1" applyFill="1" applyBorder="1" applyAlignment="1">
      <x:alignment vertical="center" wrapText="1"/>
    </x:xf>
    <x:xf numFmtId="0" fontId="11" fillId="4" borderId="32" xfId="0" applyNumberFormat="1" applyFont="1" applyFill="1" applyBorder="1" applyAlignment="1">
      <x:alignment vertical="center" wrapText="1"/>
    </x:xf>
    <x:xf numFmtId="0" fontId="11" fillId="4" borderId="33" xfId="0" applyNumberFormat="1" applyFont="1" applyFill="1" applyBorder="1" applyAlignment="1">
      <x:alignment vertical="center" wrapText="1"/>
    </x:xf>
    <x:xf numFmtId="0" fontId="11" fillId="4" borderId="36" xfId="0" applyNumberFormat="1" applyFont="1" applyFill="1" applyBorder="1" applyAlignment="1">
      <x:alignment vertical="center" wrapText="1"/>
    </x:xf>
    <x:xf numFmtId="0" fontId="11" fillId="4" borderId="16" xfId="0" applyNumberFormat="1" applyFont="1" applyFill="1" applyBorder="1" applyAlignment="1">
      <x:alignment vertical="center" wrapText="1"/>
    </x:xf>
    <x:xf numFmtId="0" fontId="11" fillId="4" borderId="37" xfId="0" applyNumberFormat="1" applyFont="1" applyFill="1" applyBorder="1" applyAlignment="1">
      <x:alignment vertical="center" wrapText="1"/>
    </x:xf>
    <x:xf numFmtId="0" fontId="11" fillId="4" borderId="31" xfId="0" applyNumberFormat="1" applyFont="1" applyFill="1" applyBorder="1" applyAlignment="1">
      <x:alignment horizontal="left" vertical="center" wrapText="1"/>
    </x:xf>
    <x:xf numFmtId="0" fontId="11" fillId="4" borderId="32" xfId="0" applyNumberFormat="1" applyFont="1" applyFill="1" applyBorder="1" applyAlignment="1">
      <x:alignment horizontal="left" vertical="center" wrapText="1"/>
    </x:xf>
    <x:xf numFmtId="0" fontId="11" fillId="4" borderId="33" xfId="0" applyNumberFormat="1" applyFont="1" applyFill="1" applyBorder="1" applyAlignment="1">
      <x:alignment horizontal="left" vertical="center" wrapText="1"/>
    </x:xf>
    <x:xf numFmtId="0" fontId="11" fillId="4" borderId="36" xfId="0" applyNumberFormat="1" applyFont="1" applyFill="1" applyBorder="1" applyAlignment="1">
      <x:alignment horizontal="left" vertical="center" wrapText="1"/>
    </x:xf>
    <x:xf numFmtId="0" fontId="11" fillId="4" borderId="16" xfId="0" applyNumberFormat="1" applyFont="1" applyFill="1" applyBorder="1" applyAlignment="1">
      <x:alignment horizontal="left" vertical="center" wrapText="1"/>
    </x:xf>
    <x:xf numFmtId="0" fontId="11" fillId="4" borderId="37" xfId="0" applyNumberFormat="1" applyFont="1" applyFill="1" applyBorder="1" applyAlignment="1">
      <x:alignment horizontal="left" vertical="center" wrapText="1"/>
    </x:xf>
    <x:xf numFmtId="0" fontId="11" fillId="7" borderId="31" xfId="0" applyNumberFormat="1" applyFont="1" applyFill="1" applyBorder="1" applyAlignment="1">
      <x:alignment vertical="center"/>
    </x:xf>
    <x:xf numFmtId="0" fontId="11" fillId="7" borderId="32" xfId="0" applyNumberFormat="1" applyFont="1" applyFill="1" applyBorder="1" applyAlignment="1">
      <x:alignment vertical="center"/>
    </x:xf>
    <x:xf numFmtId="0" fontId="11" fillId="7" borderId="33" xfId="0" applyNumberFormat="1" applyFont="1" applyFill="1" applyBorder="1" applyAlignment="1">
      <x:alignment vertical="center"/>
    </x:xf>
    <x:xf numFmtId="0" fontId="11" fillId="7" borderId="36" xfId="0" applyNumberFormat="1" applyFont="1" applyFill="1" applyBorder="1" applyAlignment="1">
      <x:alignment vertical="center"/>
    </x:xf>
    <x:xf numFmtId="0" fontId="11" fillId="7" borderId="16" xfId="0" applyNumberFormat="1" applyFont="1" applyFill="1" applyBorder="1" applyAlignment="1">
      <x:alignment vertical="center"/>
    </x:xf>
    <x:xf numFmtId="0" fontId="11" fillId="7" borderId="37" xfId="0" applyNumberFormat="1" applyFont="1" applyFill="1" applyBorder="1" applyAlignment="1">
      <x:alignment vertical="center"/>
    </x:xf>
    <x:xf numFmtId="0" fontId="11" fillId="7" borderId="31" xfId="0" applyNumberFormat="1" applyFont="1" applyFill="1" applyBorder="1" applyAlignment="1">
      <x:alignment vertical="center" wrapText="1"/>
    </x:xf>
    <x:xf numFmtId="0" fontId="11" fillId="7" borderId="32" xfId="0" applyNumberFormat="1" applyFont="1" applyFill="1" applyBorder="1" applyAlignment="1">
      <x:alignment vertical="center" wrapText="1"/>
    </x:xf>
    <x:xf numFmtId="0" fontId="11" fillId="7" borderId="33" xfId="0" applyNumberFormat="1" applyFont="1" applyFill="1" applyBorder="1" applyAlignment="1">
      <x:alignment vertical="center" wrapText="1"/>
    </x:xf>
    <x:xf numFmtId="0" fontId="11" fillId="7" borderId="36" xfId="0" applyNumberFormat="1" applyFont="1" applyFill="1" applyBorder="1" applyAlignment="1">
      <x:alignment vertical="center" wrapText="1"/>
    </x:xf>
    <x:xf numFmtId="0" fontId="11" fillId="7" borderId="16" xfId="0" applyNumberFormat="1" applyFont="1" applyFill="1" applyBorder="1" applyAlignment="1">
      <x:alignment vertical="center" wrapText="1"/>
    </x:xf>
    <x:xf numFmtId="0" fontId="11" fillId="7" borderId="37" xfId="0" applyNumberFormat="1" applyFont="1" applyFill="1" applyBorder="1" applyAlignment="1">
      <x:alignment vertical="center" wrapText="1"/>
    </x:xf>
    <x:xf numFmtId="0" fontId="11" fillId="7" borderId="31" xfId="0" applyNumberFormat="1" applyFont="1" applyFill="1" applyBorder="1" applyAlignment="1">
      <x:alignment horizontal="left" vertical="center" wrapText="1"/>
    </x:xf>
    <x:xf numFmtId="0" fontId="11" fillId="7" borderId="32" xfId="0" applyNumberFormat="1" applyFont="1" applyFill="1" applyBorder="1" applyAlignment="1">
      <x:alignment horizontal="left" vertical="center" wrapText="1"/>
    </x:xf>
    <x:xf numFmtId="0" fontId="11" fillId="7" borderId="33" xfId="0" applyNumberFormat="1" applyFont="1" applyFill="1" applyBorder="1" applyAlignment="1">
      <x:alignment horizontal="left" vertical="center" wrapText="1"/>
    </x:xf>
    <x:xf numFmtId="0" fontId="11" fillId="7" borderId="36" xfId="0" applyNumberFormat="1" applyFont="1" applyFill="1" applyBorder="1" applyAlignment="1">
      <x:alignment horizontal="left" vertical="center" wrapText="1"/>
    </x:xf>
    <x:xf numFmtId="0" fontId="11" fillId="7" borderId="16" xfId="0" applyNumberFormat="1" applyFont="1" applyFill="1" applyBorder="1" applyAlignment="1">
      <x:alignment horizontal="left" vertical="center" wrapText="1"/>
    </x:xf>
    <x:xf numFmtId="0" fontId="11" fillId="7" borderId="37" xfId="0" applyNumberFormat="1" applyFont="1" applyFill="1" applyBorder="1" applyAlignment="1">
      <x:alignment horizontal="left" vertical="center" wrapText="1"/>
    </x:xf>
    <x:xf numFmtId="0" fontId="11" fillId="6" borderId="31" xfId="0" applyNumberFormat="1" applyFont="1" applyFill="1" applyBorder="1" applyAlignment="1">
      <x:alignment vertical="center"/>
    </x:xf>
    <x:xf numFmtId="0" fontId="11" fillId="6" borderId="32" xfId="0" applyNumberFormat="1" applyFont="1" applyFill="1" applyBorder="1" applyAlignment="1">
      <x:alignment vertical="center"/>
    </x:xf>
    <x:xf numFmtId="0" fontId="11" fillId="6" borderId="33" xfId="0" applyNumberFormat="1" applyFont="1" applyFill="1" applyBorder="1" applyAlignment="1">
      <x:alignment vertical="center"/>
    </x:xf>
    <x:xf numFmtId="0" fontId="11" fillId="6" borderId="36" xfId="0" applyNumberFormat="1" applyFont="1" applyFill="1" applyBorder="1" applyAlignment="1">
      <x:alignment vertical="center"/>
    </x:xf>
    <x:xf numFmtId="0" fontId="11" fillId="6" borderId="16" xfId="0" applyNumberFormat="1" applyFont="1" applyFill="1" applyBorder="1" applyAlignment="1">
      <x:alignment vertical="center"/>
    </x:xf>
    <x:xf numFmtId="0" fontId="11" fillId="6" borderId="37" xfId="0" applyNumberFormat="1" applyFont="1" applyFill="1" applyBorder="1" applyAlignment="1">
      <x:alignment vertical="center"/>
    </x:xf>
    <x:xf numFmtId="0" fontId="11" fillId="6" borderId="31" xfId="0" applyNumberFormat="1" applyFont="1" applyFill="1" applyBorder="1" applyAlignment="1">
      <x:alignment vertical="center" wrapText="1"/>
    </x:xf>
    <x:xf numFmtId="0" fontId="11" fillId="6" borderId="32" xfId="0" applyNumberFormat="1" applyFont="1" applyFill="1" applyBorder="1" applyAlignment="1">
      <x:alignment vertical="center" wrapText="1"/>
    </x:xf>
    <x:xf numFmtId="0" fontId="11" fillId="6" borderId="33" xfId="0" applyNumberFormat="1" applyFont="1" applyFill="1" applyBorder="1" applyAlignment="1">
      <x:alignment vertical="center" wrapText="1"/>
    </x:xf>
    <x:xf numFmtId="0" fontId="11" fillId="6" borderId="36" xfId="0" applyNumberFormat="1" applyFont="1" applyFill="1" applyBorder="1" applyAlignment="1">
      <x:alignment vertical="center" wrapText="1"/>
    </x:xf>
    <x:xf numFmtId="0" fontId="11" fillId="6" borderId="16" xfId="0" applyNumberFormat="1" applyFont="1" applyFill="1" applyBorder="1" applyAlignment="1">
      <x:alignment vertical="center" wrapText="1"/>
    </x:xf>
    <x:xf numFmtId="0" fontId="11" fillId="6" borderId="37" xfId="0" applyNumberFormat="1" applyFont="1" applyFill="1" applyBorder="1" applyAlignment="1">
      <x:alignment vertical="center" wrapText="1"/>
    </x:xf>
    <x:xf numFmtId="0" fontId="11" fillId="6" borderId="31" xfId="0" applyNumberFormat="1" applyFont="1" applyFill="1" applyBorder="1" applyAlignment="1">
      <x:alignment horizontal="left" vertical="center" wrapText="1"/>
    </x:xf>
    <x:xf numFmtId="0" fontId="11" fillId="6" borderId="32" xfId="0" applyNumberFormat="1" applyFont="1" applyFill="1" applyBorder="1" applyAlignment="1">
      <x:alignment horizontal="left" vertical="center" wrapText="1"/>
    </x:xf>
    <x:xf numFmtId="0" fontId="11" fillId="6" borderId="33" xfId="0" applyNumberFormat="1" applyFont="1" applyFill="1" applyBorder="1" applyAlignment="1">
      <x:alignment horizontal="left" vertical="center" wrapText="1"/>
    </x:xf>
    <x:xf numFmtId="0" fontId="11" fillId="6" borderId="36" xfId="0" applyNumberFormat="1" applyFont="1" applyFill="1" applyBorder="1" applyAlignment="1">
      <x:alignment horizontal="left" vertical="center" wrapText="1"/>
    </x:xf>
    <x:xf numFmtId="0" fontId="11" fillId="6" borderId="16" xfId="0" applyNumberFormat="1" applyFont="1" applyFill="1" applyBorder="1" applyAlignment="1">
      <x:alignment horizontal="left" vertical="center" wrapText="1"/>
    </x:xf>
    <x:xf numFmtId="0" fontId="11" fillId="6" borderId="37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4a4caba5c497e" /><Relationship Type="http://schemas.openxmlformats.org/officeDocument/2006/relationships/theme" Target="/xl/theme/theme1.xml" Id="R4bef6d7562c64afc" /><Relationship Type="http://schemas.openxmlformats.org/officeDocument/2006/relationships/sharedStrings" Target="/xl/sharedStrings.xml" Id="R6aad8060f3424ca8" /><Relationship Type="http://schemas.openxmlformats.org/officeDocument/2006/relationships/worksheet" Target="/xl/worksheets/sheet1.xml" Id="R117f9102d3b84564" /><Relationship Type="http://schemas.openxmlformats.org/officeDocument/2006/relationships/worksheet" Target="/xl/worksheets/sheet2.xml" Id="R35991830e6dc47e7" /><Relationship Type="http://schemas.openxmlformats.org/officeDocument/2006/relationships/worksheet" Target="/xl/worksheets/sheet3.xml" Id="R2e7675a80efc4b44" /><Relationship Type="http://schemas.openxmlformats.org/officeDocument/2006/relationships/worksheet" Target="/xl/worksheets/sheet4.xml" Id="Raa0eee3ad55e4fa4" /><Relationship Type="http://schemas.openxmlformats.org/officeDocument/2006/relationships/worksheet" Target="/xl/worksheets/sheet5.xml" Id="Ra7e4d4d5899c418d" /><Relationship Type="http://schemas.openxmlformats.org/officeDocument/2006/relationships/worksheet" Target="/xl/worksheets/sheet6.xml" Id="R7670c47f8eaa4919" /><Relationship Type="http://schemas.openxmlformats.org/officeDocument/2006/relationships/worksheet" Target="/xl/worksheets/sheet7.xml" Id="Reb05298a28d34f8b" /><Relationship Type="http://schemas.openxmlformats.org/officeDocument/2006/relationships/worksheet" Target="/xl/worksheets/sheet8.xml" Id="R0ec6425ae356465d" /><Relationship Type="http://schemas.openxmlformats.org/officeDocument/2006/relationships/worksheet" Target="/xl/worksheets/sheet9.xml" Id="Rf5c5aa5842154a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59177d04914d23" /><Relationship Type="http://schemas.openxmlformats.org/officeDocument/2006/relationships/chart" Target="/xl/drawings/charts/chart2.xml" Id="Rca18b6980d1e475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662fbeb48074cc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1366cf0f938417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0b02cb05cdc4bb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cc51db67987f4c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 启动用户趋势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App 启动用户数</c:v>
          </c:tx>
          <c:marker>
            <c:symbol val="none"/>
          </c:marker>
          <c:cat>
            <c:strRef>
              <c:f>'01_看板总览'!$N$3:$N$9</c:f>
              <c:strCache>
                <c:ptCount val="0"/>
              </c:strCache>
            </c:strRef>
          </c:cat>
          <c:val>
            <c:numRef>
              <c:f>'01_看板总览'!$O$3:$O$9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退出房间次数（按 SDK）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退出房间次数</c:v>
          </c:tx>
          <c:cat>
            <c:strRef>
              <c:f>'01_看板总览'!$Q$3:$Q$6</c:f>
              <c:strCache>
                <c:ptCount val="0"/>
              </c:strCache>
            </c:strRef>
          </c:cat>
          <c:val>
            <c:numRef>
              <c:f>'01_看板总览'!$R$3:$R$6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 启动用户趋势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App 启动用户数</c:v>
          </c:tx>
          <c:marker>
            <c:symbol val="none"/>
          </c:marker>
          <c:cat>
            <c:strRef>
              <c:f>'C01_App启动'!$N$15:$N$21</c:f>
              <c:strCache>
                <c:ptCount val="0"/>
              </c:strCache>
            </c:strRef>
          </c:cat>
          <c:val>
            <c:numRef>
              <c:f>'C01_App启动'!$O$15:$O$21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退出房间次数（按 SDK）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总次数</c:v>
          </c:tx>
          <c:cat>
            <c:strRef>
              <c:f>'C02_事件SDK'!$A$15:$A$18</c:f>
              <c:strCache>
                <c:ptCount val="0"/>
              </c:strCache>
            </c:strRef>
          </c:cat>
          <c:val>
            <c:numRef>
              <c:f>'C02_事件SDK'!$B$15:$B$18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漏斗步骤用户数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用户数</c:v>
          </c:tx>
          <c:cat>
            <c:strRef>
              <c:f>'C03_漏斗'!$A$15:$A$16</c:f>
              <c:strCache>
                <c:ptCount val="0"/>
              </c:strCache>
            </c:strRef>
          </c:cat>
          <c:val>
            <c:numRef>
              <c:f>'C03_漏斗'!$B$15:$B$16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次数区间占比趋势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1～2 次</c:v>
          </c:tx>
          <c:marker>
            <c:symbol val="none"/>
          </c:marker>
          <c:cat>
            <c:strRef>
              <c:f>'C05_分布'!$T$15:$T$17</c:f>
              <c:strCache>
                <c:ptCount val="0"/>
              </c:strCache>
            </c:strRef>
          </c:cat>
          <c:val>
            <c:numRef>
              <c:f>'C05_分布'!$U$15:$U$17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3～4 次</c:v>
          </c:tx>
          <c:marker>
            <c:symbol val="none"/>
          </c:marker>
          <c:cat>
            <c:strRef>
              <c:f>'C05_分布'!$T$15:$T$17</c:f>
              <c:strCache>
                <c:ptCount val="0"/>
              </c:strCache>
            </c:strRef>
          </c:cat>
          <c:val>
            <c:numRef>
              <c:f>'C05_分布'!$V$15:$V$17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5～9 次</c:v>
          </c:tx>
          <c:marker>
            <c:symbol val="none"/>
          </c:marker>
          <c:cat>
            <c:strRef>
              <c:f>'C05_分布'!$T$15:$T$17</c:f>
              <c:strCache>
                <c:ptCount val="0"/>
              </c:strCache>
            </c:strRef>
          </c:cat>
          <c:val>
            <c:numRef>
              <c:f>'C05_分布'!$W$15:$W$17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59177d04914d23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18b6980d1e475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62fbeb48074cc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366cf0f938417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12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b02cb05cdc4bb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12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51db67987f4c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225bf36557e45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b8689267b9084f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455d7b6ccd5747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3b8f343a5ded4c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23f7f023ae7a41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7" t="str">
        <x:v>YPBI｜看板整体导出示例</x:v>
      </x:c>
      <x:c r="B1" s="18" t="str">
        <x:v>YPBI｜看板整体导出示例</x:v>
      </x:c>
      <x:c r="C1" s="18" t="str">
        <x:v>YPBI｜看板整体导出示例</x:v>
      </x:c>
      <x:c r="D1" s="18" t="str">
        <x:v>YPBI｜看板整体导出示例</x:v>
      </x:c>
      <x:c r="E1" s="18" t="str">
        <x:v>YPBI｜看板整体导出示例</x:v>
      </x:c>
      <x:c r="F1" s="18" t="str">
        <x:v>YPBI｜看板整体导出示例</x:v>
      </x:c>
      <x:c r="G1" s="18" t="str">
        <x:v>YPBI｜看板整体导出示例</x:v>
      </x:c>
      <x:c r="H1" s="19" t="str">
        <x:v>YPBI｜看板整体导出示例</x:v>
      </x:c>
    </x:row>
    <x:row r="2">
      <x:c r="A2" s="20" t="str">
        <x:v>YPBI｜看板整体导出示例</x:v>
      </x:c>
      <x:c r="B2" s="21" t="str">
        <x:v>YPBI｜看板整体导出示例</x:v>
      </x:c>
      <x:c r="C2" s="21" t="str">
        <x:v>YPBI｜看板整体导出示例</x:v>
      </x:c>
      <x:c r="D2" s="21" t="str">
        <x:v>YPBI｜看板整体导出示例</x:v>
      </x:c>
      <x:c r="E2" s="21" t="str">
        <x:v>YPBI｜看板整体导出示例</x:v>
      </x:c>
      <x:c r="F2" s="21" t="str">
        <x:v>YPBI｜看板整体导出示例</x:v>
      </x:c>
      <x:c r="G2" s="21" t="str">
        <x:v>YPBI｜看板整体导出示例</x:v>
      </x:c>
      <x:c r="H2" s="22" t="str">
        <x:v>YPBI｜看板整体导出示例</x:v>
      </x:c>
    </x:row>
    <x:row r="3">
      <x:c r="A3" s="31" t="str">
        <x:v>一张看板、多张卡片、分 Sheet 保留各自分析结构；不是把异构数据强行塞进一张表。</x:v>
      </x:c>
      <x:c r="B3" s="32" t="str">
        <x:v>一张看板、多张卡片、分 Sheet 保留各自分析结构；不是把异构数据强行塞进一张表。</x:v>
      </x:c>
      <x:c r="C3" s="32" t="str">
        <x:v>一张看板、多张卡片、分 Sheet 保留各自分析结构；不是把异构数据强行塞进一张表。</x:v>
      </x:c>
      <x:c r="D3" s="32" t="str">
        <x:v>一张看板、多张卡片、分 Sheet 保留各自分析结构；不是把异构数据强行塞进一张表。</x:v>
      </x:c>
      <x:c r="E3" s="32" t="str">
        <x:v>一张看板、多张卡片、分 Sheet 保留各自分析结构；不是把异构数据强行塞进一张表。</x:v>
      </x:c>
      <x:c r="F3" s="32" t="str">
        <x:v>一张看板、多张卡片、分 Sheet 保留各自分析结构；不是把异构数据强行塞进一张表。</x:v>
      </x:c>
      <x:c r="G3" s="32" t="str">
        <x:v>一张看板、多张卡片、分 Sheet 保留各自分析结构；不是把异构数据强行塞进一张表。</x:v>
      </x:c>
      <x:c r="H3" s="33" t="str">
        <x:v>一张看板、多张卡片、分 Sheet 保留各自分析结构；不是把异构数据强行塞进一张表。</x:v>
      </x:c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42" t="str">
        <x:v>本次导出</x:v>
      </x:c>
      <x:c r="B5" s="43" t="str">
        <x:v>本次导出</x:v>
      </x:c>
      <x:c r="C5" s="43" t="str">
        <x:v>本次导出</x:v>
      </x:c>
      <x:c r="D5" s="43" t="str">
        <x:v>本次导出</x:v>
      </x:c>
      <x:c r="E5" s="43" t="str">
        <x:v>本次导出</x:v>
      </x:c>
      <x:c r="F5" s="43" t="str">
        <x:v>本次导出</x:v>
      </x:c>
      <x:c r="G5" s="43" t="str">
        <x:v>本次导出</x:v>
      </x:c>
      <x:c r="H5" s="44" t="str">
        <x:v>本次导出</x:v>
      </x:c>
    </x:row>
    <x:row r="6">
      <x:c r="A6" s="46" t="str">
        <x:v>导出类型</x:v>
      </x:c>
      <x:c r="B6" s="48" t="str">
        <x:v>看板整体导出（Excel 分析结果包）</x:v>
      </x:c>
      <x:c r="C6" s="48"/>
      <x:c r="D6" s="48"/>
      <x:c r="E6" s="48"/>
      <x:c r="F6" s="48"/>
      <x:c r="G6" s="48"/>
      <x:c r="H6" s="48"/>
    </x:row>
    <x:row r="7">
      <x:c r="A7" s="46" t="str">
        <x:v>看板名称</x:v>
      </x:c>
      <x:c r="B7" s="48" t="str">
        <x:v>YPBI 多分析类型示例看板</x:v>
      </x:c>
      <x:c r="C7" s="48"/>
      <x:c r="D7" s="48"/>
      <x:c r="E7" s="48"/>
      <x:c r="F7" s="48"/>
      <x:c r="G7" s="48"/>
      <x:c r="H7" s="48"/>
    </x:row>
    <x:row r="8">
      <x:c r="A8" s="46" t="str">
        <x:v>导出时间</x:v>
      </x:c>
      <x:c r="B8" s="48" t="str">
        <x:v>2026-09-02（示例制作时间）</x:v>
      </x:c>
      <x:c r="C8" s="48"/>
      <x:c r="D8" s="48"/>
      <x:c r="E8" s="48"/>
      <x:c r="F8" s="48"/>
      <x:c r="G8" s="48"/>
      <x:c r="H8" s="48"/>
    </x:row>
    <x:row r="9">
      <x:c r="A9" s="46" t="str">
        <x:v>默认时区</x:v>
      </x:c>
      <x:c r="B9" s="48" t="str">
        <x:v>UTC+08:00；原始神策文件未携带时区元数据</x:v>
      </x:c>
      <x:c r="C9" s="48"/>
      <x:c r="D9" s="48"/>
      <x:c r="E9" s="48"/>
      <x:c r="F9" s="48"/>
      <x:c r="G9" s="48"/>
      <x:c r="H9" s="48"/>
    </x:row>
    <x:row r="10">
      <x:c r="A10" s="46" t="str">
        <x:v>数据来源</x:v>
      </x:c>
      <x:c r="B10" s="48" t="str">
        <x:v>神策实际导出：事件分析、漏斗分析、留存分析、分布分析</x:v>
      </x:c>
      <x:c r="C10" s="48"/>
      <x:c r="D10" s="48"/>
      <x:c r="E10" s="48"/>
      <x:c r="F10" s="48"/>
      <x:c r="G10" s="48"/>
      <x:c r="H10" s="48"/>
    </x:row>
    <x:row r="11">
      <x:c r="A11" s="46" t="str">
        <x:v>数据更新时间</x:v>
      </x:c>
      <x:c r="B11" s="48" t="str">
        <x:v>原始文件未提供，标记为未知</x:v>
      </x:c>
      <x:c r="C11" s="48"/>
      <x:c r="D11" s="48"/>
      <x:c r="E11" s="48"/>
      <x:c r="F11" s="48"/>
      <x:c r="G11" s="48"/>
      <x:c r="H11" s="48"/>
    </x:row>
    <x:row r="12">
      <x:c r="A12" s="46" t="str">
        <x:v>真实性承诺</x:v>
      </x:c>
      <x:c r="B12" s="48" t="str">
        <x:v>全部数值来自列明的真实导出文件；未生成用户/事件级原始明细，也未使用 Mock</x:v>
      </x:c>
      <x:c r="C12" s="48"/>
      <x:c r="D12" s="48"/>
      <x:c r="E12" s="48"/>
      <x:c r="F12" s="48"/>
      <x:c r="G12" s="48"/>
      <x:c r="H12" s="48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42" t="str">
        <x:v>工作表结构</x:v>
      </x:c>
      <x:c r="B14" s="43" t="str">
        <x:v>工作表结构</x:v>
      </x:c>
      <x:c r="C14" s="43" t="str">
        <x:v>工作表结构</x:v>
      </x:c>
      <x:c r="D14" s="43" t="str">
        <x:v>工作表结构</x:v>
      </x:c>
      <x:c r="E14" s="43" t="str">
        <x:v>工作表结构</x:v>
      </x:c>
      <x:c r="F14" s="43" t="str">
        <x:v>工作表结构</x:v>
      </x:c>
      <x:c r="G14" s="43" t="str">
        <x:v>工作表结构</x:v>
      </x:c>
      <x:c r="H14" s="44" t="str">
        <x:v>工作表结构</x:v>
      </x:c>
    </x:row>
    <x:row r="15">
      <x:c r="A15" s="53" t="str">
        <x:v>Sheet</x:v>
      </x:c>
      <x:c r="B15" s="53" t="str">
        <x:v>对象</x:v>
      </x:c>
      <x:c r="C15" s="53" t="str">
        <x:v>内容</x:v>
      </x:c>
      <x:c r="D15" s="53" t="str">
        <x:v>阅读建议</x:v>
      </x:c>
      <x:c r="E15" s="2"/>
      <x:c r="F15" s="2"/>
      <x:c r="G15" s="2"/>
      <x:c r="H15" s="2"/>
    </x:row>
    <x:row r="16">
      <x:c r="A16" s="63" t="str">
        <x:v>01_看板总览</x:v>
      </x:c>
      <x:c r="B16" s="64" t="str">
        <x:v>整张看板</x:v>
      </x:c>
      <x:c r="C16" s="64" t="str">
        <x:v>跨卡片 KPI 与可视化缩略</x:v>
      </x:c>
      <x:c r="D16" s="65" t="str">
        <x:v>先看这里，了解整张看板</x:v>
      </x:c>
      <x:c r="E16" s="2"/>
      <x:c r="F16" s="2"/>
      <x:c r="G16" s="2"/>
      <x:c r="H16" s="2"/>
    </x:row>
    <x:row r="17">
      <x:c r="A17" s="66" t="str">
        <x:v>02_卡片索引</x:v>
      </x:c>
      <x:c r="B17" s="67" t="str">
        <x:v>目录</x:v>
      </x:c>
      <x:c r="C17" s="67" t="str">
        <x:v>卡片类型、查询窗口、来源与目标 Sheet</x:v>
      </x:c>
      <x:c r="D17" s="68" t="str">
        <x:v>定位某张卡片</x:v>
      </x:c>
      <x:c r="E17" s="2"/>
      <x:c r="F17" s="2"/>
      <x:c r="G17" s="2"/>
      <x:c r="H17" s="2"/>
    </x:row>
    <x:row r="18">
      <x:c r="A18" s="66" t="str">
        <x:v>C01～C05</x:v>
      </x:c>
      <x:c r="B18" s="67" t="str">
        <x:v>单卡片</x:v>
      </x:c>
      <x:c r="C18" s="67" t="str">
        <x:v>各分析类型的聚合结果与明细</x:v>
      </x:c>
      <x:c r="D18" s="68" t="str">
        <x:v>继续分析或复制结果</x:v>
      </x:c>
      <x:c r="E18" s="2"/>
      <x:c r="F18" s="2"/>
      <x:c r="G18" s="2"/>
      <x:c r="H18" s="2"/>
    </x:row>
    <x:row r="19">
      <x:c r="A19" s="69" t="str">
        <x:v>99_异常与限制</x:v>
      </x:c>
      <x:c r="B19" s="70" t="str">
        <x:v>质量说明</x:v>
      </x:c>
      <x:c r="C19" s="70" t="str">
        <x:v>缺失元数据、口径边界、成熟度处理</x:v>
      </x:c>
      <x:c r="D19" s="71" t="str">
        <x:v>对外使用前必须查看</x:v>
      </x:c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42" t="str">
        <x:v>导出原则</x:v>
      </x:c>
      <x:c r="B21" s="43" t="str">
        <x:v>导出原则</x:v>
      </x:c>
      <x:c r="C21" s="43" t="str">
        <x:v>导出原则</x:v>
      </x:c>
      <x:c r="D21" s="43" t="str">
        <x:v>导出原则</x:v>
      </x:c>
      <x:c r="E21" s="43" t="str">
        <x:v>导出原则</x:v>
      </x:c>
      <x:c r="F21" s="43" t="str">
        <x:v>导出原则</x:v>
      </x:c>
      <x:c r="G21" s="43" t="str">
        <x:v>导出原则</x:v>
      </x:c>
      <x:c r="H21" s="44" t="str">
        <x:v>导出原则</x:v>
      </x:c>
    </x:row>
    <x:row r="22">
      <x:c r="A22" s="74" t="str">
        <x:v>1</x:v>
      </x:c>
      <x:c r="B22" s="48" t="str">
        <x:v>聚合结果与明细同时保留，但两者明确区分。</x:v>
      </x:c>
      <x:c r="C22" s="48"/>
      <x:c r="D22" s="48"/>
      <x:c r="E22" s="48"/>
      <x:c r="F22" s="48"/>
      <x:c r="G22" s="48"/>
      <x:c r="H22" s="48"/>
    </x:row>
    <x:row r="23">
      <x:c r="A23" s="74" t="str">
        <x:v>2</x:v>
      </x:c>
      <x:c r="B23" s="48" t="str">
        <x:v>各卡片保留自己的分析类型、查询条件和数据粒度，不做无意义跨类型拼表。</x:v>
      </x:c>
      <x:c r="C23" s="48"/>
      <x:c r="D23" s="48"/>
      <x:c r="E23" s="48"/>
      <x:c r="F23" s="48"/>
      <x:c r="G23" s="48"/>
      <x:c r="H23" s="48"/>
    </x:row>
    <x:row r="24">
      <x:c r="A24" s="74" t="str">
        <x:v>3</x:v>
      </x:c>
      <x:c r="B24" s="48" t="str">
        <x:v>官方结果使用平台已计算值；二次计算仅用于可审计的合计、差值和展示辅助。</x:v>
      </x:c>
      <x:c r="C24" s="48"/>
      <x:c r="D24" s="48"/>
      <x:c r="E24" s="48"/>
      <x:c r="F24" s="48"/>
      <x:c r="G24" s="48"/>
      <x:c r="H24" s="48"/>
    </x:row>
    <x:row r="25">
      <x:c r="A25" s="74" t="str">
        <x:v>4</x:v>
      </x:c>
      <x:c r="B25" s="48" t="str">
        <x:v>未知、未成熟、无权限、未提供的数据不补成 0，也不生成虚构明细。</x:v>
      </x:c>
      <x:c r="C25" s="48"/>
      <x:c r="D25" s="48"/>
      <x:c r="E25" s="48"/>
      <x:c r="F25" s="48"/>
      <x:c r="G25" s="48"/>
      <x:c r="H25" s="48"/>
    </x:row>
    <x:row r="26">
      <x:c r="A26" s="74" t="str">
        <x:v>5</x:v>
      </x:c>
      <x:c r="B26" s="48" t="str">
        <x:v>所有百分比、日期和数字保持可计算的数据类型。</x:v>
      </x:c>
      <x:c r="C26" s="48"/>
      <x:c r="D26" s="48"/>
      <x:c r="E26" s="48"/>
      <x:c r="F26" s="48"/>
      <x:c r="G26" s="48"/>
      <x:c r="H26" s="48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94" t="str">
        <x:v>这是导出结构 Demo，不是正式业务看板。由于现有真实文件查询日期不同，总览只用于展示工作簿结构，禁止直接比较不同卡片数值。</x:v>
      </x:c>
      <x:c r="B28" s="95" t="str">
        <x:v>这是导出结构 Demo，不是正式业务看板。由于现有真实文件查询日期不同，总览只用于展示工作簿结构，禁止直接比较不同卡片数值。</x:v>
      </x:c>
      <x:c r="C28" s="95" t="str">
        <x:v>这是导出结构 Demo，不是正式业务看板。由于现有真实文件查询日期不同，总览只用于展示工作簿结构，禁止直接比较不同卡片数值。</x:v>
      </x:c>
      <x:c r="D28" s="95" t="str">
        <x:v>这是导出结构 Demo，不是正式业务看板。由于现有真实文件查询日期不同，总览只用于展示工作簿结构，禁止直接比较不同卡片数值。</x:v>
      </x:c>
      <x:c r="E28" s="95" t="str">
        <x:v>这是导出结构 Demo，不是正式业务看板。由于现有真实文件查询日期不同，总览只用于展示工作簿结构，禁止直接比较不同卡片数值。</x:v>
      </x:c>
      <x:c r="F28" s="95" t="str">
        <x:v>这是导出结构 Demo，不是正式业务看板。由于现有真实文件查询日期不同，总览只用于展示工作簿结构，禁止直接比较不同卡片数值。</x:v>
      </x:c>
      <x:c r="G28" s="95" t="str">
        <x:v>这是导出结构 Demo，不是正式业务看板。由于现有真实文件查询日期不同，总览只用于展示工作簿结构，禁止直接比较不同卡片数值。</x:v>
      </x:c>
      <x:c r="H28" s="96" t="str">
        <x:v>这是导出结构 Demo，不是正式业务看板。由于现有真实文件查询日期不同，总览只用于展示工作簿结构，禁止直接比较不同卡片数值。</x:v>
      </x:c>
    </x:row>
    <x:row r="29">
      <x:c r="A29" s="97" t="str">
        <x:v>这是导出结构 Demo，不是正式业务看板。由于现有真实文件查询日期不同，总览只用于展示工作簿结构，禁止直接比较不同卡片数值。</x:v>
      </x:c>
      <x:c r="B29" s="98" t="str">
        <x:v>这是导出结构 Demo，不是正式业务看板。由于现有真实文件查询日期不同，总览只用于展示工作簿结构，禁止直接比较不同卡片数值。</x:v>
      </x:c>
      <x:c r="C29" s="98" t="str">
        <x:v>这是导出结构 Demo，不是正式业务看板。由于现有真实文件查询日期不同，总览只用于展示工作簿结构，禁止直接比较不同卡片数值。</x:v>
      </x:c>
      <x:c r="D29" s="98" t="str">
        <x:v>这是导出结构 Demo，不是正式业务看板。由于现有真实文件查询日期不同，总览只用于展示工作簿结构，禁止直接比较不同卡片数值。</x:v>
      </x:c>
      <x:c r="E29" s="98" t="str">
        <x:v>这是导出结构 Demo，不是正式业务看板。由于现有真实文件查询日期不同，总览只用于展示工作簿结构，禁止直接比较不同卡片数值。</x:v>
      </x:c>
      <x:c r="F29" s="98" t="str">
        <x:v>这是导出结构 Demo，不是正式业务看板。由于现有真实文件查询日期不同，总览只用于展示工作簿结构，禁止直接比较不同卡片数值。</x:v>
      </x:c>
      <x:c r="G29" s="98" t="str">
        <x:v>这是导出结构 Demo，不是正式业务看板。由于现有真实文件查询日期不同，总览只用于展示工作簿结构，禁止直接比较不同卡片数值。</x:v>
      </x:c>
      <x:c r="H29" s="99" t="str">
        <x:v>这是导出结构 Demo，不是正式业务看板。由于现有真实文件查询日期不同，总览只用于展示工作簿结构，禁止直接比较不同卡片数值。</x:v>
      </x:c>
    </x:row>
    <x:row r="30">
      <x:c r="A30" s="100" t="str">
        <x:v>这是导出结构 Demo，不是正式业务看板。由于现有真实文件查询日期不同，总览只用于展示工作簿结构，禁止直接比较不同卡片数值。</x:v>
      </x:c>
      <x:c r="B30" s="101" t="str">
        <x:v>这是导出结构 Demo，不是正式业务看板。由于现有真实文件查询日期不同，总览只用于展示工作簿结构，禁止直接比较不同卡片数值。</x:v>
      </x:c>
      <x:c r="C30" s="101" t="str">
        <x:v>这是导出结构 Demo，不是正式业务看板。由于现有真实文件查询日期不同，总览只用于展示工作簿结构，禁止直接比较不同卡片数值。</x:v>
      </x:c>
      <x:c r="D30" s="101" t="str">
        <x:v>这是导出结构 Demo，不是正式业务看板。由于现有真实文件查询日期不同，总览只用于展示工作簿结构，禁止直接比较不同卡片数值。</x:v>
      </x:c>
      <x:c r="E30" s="101" t="str">
        <x:v>这是导出结构 Demo，不是正式业务看板。由于现有真实文件查询日期不同，总览只用于展示工作簿结构，禁止直接比较不同卡片数值。</x:v>
      </x:c>
      <x:c r="F30" s="101" t="str">
        <x:v>这是导出结构 Demo，不是正式业务看板。由于现有真实文件查询日期不同，总览只用于展示工作簿结构，禁止直接比较不同卡片数值。</x:v>
      </x:c>
      <x:c r="G30" s="101" t="str">
        <x:v>这是导出结构 Demo，不是正式业务看板。由于现有真实文件查询日期不同，总览只用于展示工作簿结构，禁止直接比较不同卡片数值。</x:v>
      </x:c>
      <x:c r="H30" s="102" t="str">
        <x:v>这是导出结构 Demo，不是正式业务看板。由于现有真实文件查询日期不同，总览只用于展示工作簿结构，禁止直接比较不同卡片数值。</x:v>
      </x:c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</x:sheetData>
  <x:mergeCells>
    <x:mergeCell ref="A1:H2"/>
    <x:mergeCell ref="A3:H3"/>
    <x:mergeCell ref="A5:H5"/>
    <x:mergeCell ref="B6:H6"/>
    <x:mergeCell ref="B7:H7"/>
    <x:mergeCell ref="B8:H8"/>
    <x:mergeCell ref="B9:H9"/>
    <x:mergeCell ref="B10:H10"/>
    <x:mergeCell ref="B11:H11"/>
    <x:mergeCell ref="B12:H12"/>
    <x:mergeCell ref="A14:H14"/>
    <x:mergeCell ref="A21:H21"/>
    <x:mergeCell ref="B22:H22"/>
    <x:mergeCell ref="B23:H23"/>
    <x:mergeCell ref="B24:H24"/>
    <x:mergeCell ref="B25:H25"/>
    <x:mergeCell ref="B26:H26"/>
    <x:mergeCell ref="A28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17" t="str">
        <x:v>YPBI｜多分析类型示例看板</x:v>
      </x:c>
      <x:c r="B1" s="18" t="str">
        <x:v>YPBI｜多分析类型示例看板</x:v>
      </x:c>
      <x:c r="C1" s="18" t="str">
        <x:v>YPBI｜多分析类型示例看板</x:v>
      </x:c>
      <x:c r="D1" s="18" t="str">
        <x:v>YPBI｜多分析类型示例看板</x:v>
      </x:c>
      <x:c r="E1" s="18" t="str">
        <x:v>YPBI｜多分析类型示例看板</x:v>
      </x:c>
      <x:c r="F1" s="18" t="str">
        <x:v>YPBI｜多分析类型示例看板</x:v>
      </x:c>
      <x:c r="G1" s="18" t="str">
        <x:v>YPBI｜多分析类型示例看板</x:v>
      </x:c>
      <x:c r="H1" s="18" t="str">
        <x:v>YPBI｜多分析类型示例看板</x:v>
      </x:c>
      <x:c r="I1" s="18" t="str">
        <x:v>YPBI｜多分析类型示例看板</x:v>
      </x:c>
      <x:c r="J1" s="18" t="str">
        <x:v>YPBI｜多分析类型示例看板</x:v>
      </x:c>
      <x:c r="K1" s="18" t="str">
        <x:v>YPBI｜多分析类型示例看板</x:v>
      </x:c>
      <x:c r="L1" s="19" t="str">
        <x:v>YPBI｜多分析类型示例看板</x:v>
      </x:c>
      <x:c r="M1" s="2"/>
      <x:c r="N1" s="2"/>
      <x:c r="O1" s="2"/>
      <x:c r="P1" s="2"/>
      <x:c r="Q1" s="2"/>
      <x:c r="R1" s="2"/>
    </x:row>
    <x:row r="2">
      <x:c r="A2" s="20" t="str">
        <x:v>YPBI｜多分析类型示例看板</x:v>
      </x:c>
      <x:c r="B2" s="21" t="str">
        <x:v>YPBI｜多分析类型示例看板</x:v>
      </x:c>
      <x:c r="C2" s="21" t="str">
        <x:v>YPBI｜多分析类型示例看板</x:v>
      </x:c>
      <x:c r="D2" s="21" t="str">
        <x:v>YPBI｜多分析类型示例看板</x:v>
      </x:c>
      <x:c r="E2" s="21" t="str">
        <x:v>YPBI｜多分析类型示例看板</x:v>
      </x:c>
      <x:c r="F2" s="21" t="str">
        <x:v>YPBI｜多分析类型示例看板</x:v>
      </x:c>
      <x:c r="G2" s="21" t="str">
        <x:v>YPBI｜多分析类型示例看板</x:v>
      </x:c>
      <x:c r="H2" s="21" t="str">
        <x:v>YPBI｜多分析类型示例看板</x:v>
      </x:c>
      <x:c r="I2" s="21" t="str">
        <x:v>YPBI｜多分析类型示例看板</x:v>
      </x:c>
      <x:c r="J2" s="21" t="str">
        <x:v>YPBI｜多分析类型示例看板</x:v>
      </x:c>
      <x:c r="K2" s="21" t="str">
        <x:v>YPBI｜多分析类型示例看板</x:v>
      </x:c>
      <x:c r="L2" s="22" t="str">
        <x:v>YPBI｜多分析类型示例看板</x:v>
      </x:c>
      <x:c r="M2" s="2"/>
      <x:c r="N2" s="2" t="str">
        <x:v>日期</x:v>
      </x:c>
      <x:c r="O2" s="2" t="str">
        <x:v>App 启动用户数</x:v>
      </x:c>
      <x:c r="P2" s="2"/>
      <x:c r="Q2" s="2" t="str">
        <x:v>SDK</x:v>
      </x:c>
      <x:c r="R2" s="2" t="str">
        <x:v>退出房间次数</x:v>
      </x:c>
    </x:row>
    <x:row r="3">
      <x:c r="A3" s="31" t="str">
        <x:v>看板整体导出 · 关键总览｜数值来自现有神策真实导出；各卡片查询窗口不同，禁止横向比较</x:v>
      </x:c>
      <x:c r="B3" s="32" t="str">
        <x:v>看板整体导出 · 关键总览｜数值来自现有神策真实导出；各卡片查询窗口不同，禁止横向比较</x:v>
      </x:c>
      <x:c r="C3" s="32" t="str">
        <x:v>看板整体导出 · 关键总览｜数值来自现有神策真实导出；各卡片查询窗口不同，禁止横向比较</x:v>
      </x:c>
      <x:c r="D3" s="32" t="str">
        <x:v>看板整体导出 · 关键总览｜数值来自现有神策真实导出；各卡片查询窗口不同，禁止横向比较</x:v>
      </x:c>
      <x:c r="E3" s="32" t="str">
        <x:v>看板整体导出 · 关键总览｜数值来自现有神策真实导出；各卡片查询窗口不同，禁止横向比较</x:v>
      </x:c>
      <x:c r="F3" s="32" t="str">
        <x:v>看板整体导出 · 关键总览｜数值来自现有神策真实导出；各卡片查询窗口不同，禁止横向比较</x:v>
      </x:c>
      <x:c r="G3" s="32" t="str">
        <x:v>看板整体导出 · 关键总览｜数值来自现有神策真实导出；各卡片查询窗口不同，禁止横向比较</x:v>
      </x:c>
      <x:c r="H3" s="32" t="str">
        <x:v>看板整体导出 · 关键总览｜数值来自现有神策真实导出；各卡片查询窗口不同，禁止横向比较</x:v>
      </x:c>
      <x:c r="I3" s="32" t="str">
        <x:v>看板整体导出 · 关键总览｜数值来自现有神策真实导出；各卡片查询窗口不同，禁止横向比较</x:v>
      </x:c>
      <x:c r="J3" s="32" t="str">
        <x:v>看板整体导出 · 关键总览｜数值来自现有神策真实导出；各卡片查询窗口不同，禁止横向比较</x:v>
      </x:c>
      <x:c r="K3" s="32" t="str">
        <x:v>看板整体导出 · 关键总览｜数值来自现有神策真实导出；各卡片查询窗口不同，禁止横向比较</x:v>
      </x:c>
      <x:c r="L3" s="33" t="str">
        <x:v>看板整体导出 · 关键总览｜数值来自现有神策真实导出；各卡片查询窗口不同，禁止横向比较</x:v>
      </x:c>
      <x:c r="M3" s="2"/>
      <x:c r="N3" s="2" t="str">
        <x:v>08-26</x:v>
      </x:c>
      <x:c r="O3" s="2" t="n">
        <x:f>'C01_App启动'!B15</x:f>
        <x:v>503</x:v>
      </x:c>
      <x:c r="P3" s="2"/>
      <x:c r="Q3" s="2" t="str">
        <x:v>iOS</x:v>
      </x:c>
      <x:c r="R3" s="2" t="n">
        <x:f>'C02_事件SDK'!B15</x:f>
        <x:v>504</x:v>
      </x:c>
    </x:row>
    <x:row r="4">
      <x:c r="A4" s="443" t="str">
        <x:v>数据来源</x:v>
      </x:c>
      <x:c r="B4" s="444" t="str">
        <x:v>数据来源</x:v>
      </x:c>
      <x:c r="C4" s="445" t="str">
        <x:v>数据来源</x:v>
      </x:c>
      <x:c r="D4" s="443" t="str">
        <x:v>导出范围</x:v>
      </x:c>
      <x:c r="E4" s="444" t="str">
        <x:v>导出范围</x:v>
      </x:c>
      <x:c r="F4" s="445" t="str">
        <x:v>导出范围</x:v>
      </x:c>
      <x:c r="G4" s="443" t="str">
        <x:v>时区</x:v>
      </x:c>
      <x:c r="H4" s="444" t="str">
        <x:v>时区</x:v>
      </x:c>
      <x:c r="I4" s="445" t="str">
        <x:v>时区</x:v>
      </x:c>
      <x:c r="J4" s="443" t="str">
        <x:v>数据限制</x:v>
      </x:c>
      <x:c r="K4" s="444" t="str">
        <x:v>数据限制</x:v>
      </x:c>
      <x:c r="L4" s="445" t="str">
        <x:v>数据限制</x:v>
      </x:c>
      <x:c r="M4" s="2"/>
      <x:c r="N4" s="2" t="str">
        <x:v>08-27</x:v>
      </x:c>
      <x:c r="O4" s="2" t="n">
        <x:f>'C01_App启动'!B16</x:f>
        <x:v>543</x:v>
      </x:c>
      <x:c r="P4" s="2"/>
      <x:c r="Q4" s="2" t="str">
        <x:v>Android</x:v>
      </x:c>
      <x:c r="R4" s="2" t="n">
        <x:f>'C02_事件SDK'!B16</x:f>
        <x:v>492</x:v>
      </x:c>
    </x:row>
    <x:row r="5">
      <x:c r="A5" s="454" t="str">
        <x:v>神策真实导出</x:v>
      </x:c>
      <x:c r="B5" s="455" t="str">
        <x:v>神策真实导出</x:v>
      </x:c>
      <x:c r="C5" s="456" t="str">
        <x:v>神策真实导出</x:v>
      </x:c>
      <x:c r="D5" s="454" t="str">
        <x:v>5 张卡片</x:v>
      </x:c>
      <x:c r="E5" s="455" t="str">
        <x:v>5 张卡片</x:v>
      </x:c>
      <x:c r="F5" s="456" t="str">
        <x:v>5 张卡片</x:v>
      </x:c>
      <x:c r="G5" s="454" t="str">
        <x:v>UTC+08:00（源文件未携带）</x:v>
      </x:c>
      <x:c r="H5" s="455" t="str">
        <x:v>UTC+08:00（源文件未携带）</x:v>
      </x:c>
      <x:c r="I5" s="456" t="str">
        <x:v>UTC+08:00（源文件未携带）</x:v>
      </x:c>
      <x:c r="J5" s="454" t="str">
        <x:v>不含用户/事件原始明细</x:v>
      </x:c>
      <x:c r="K5" s="455" t="str">
        <x:v>不含用户/事件原始明细</x:v>
      </x:c>
      <x:c r="L5" s="456" t="str">
        <x:v>不含用户/事件原始明细</x:v>
      </x:c>
      <x:c r="M5" s="2"/>
      <x:c r="N5" s="2" t="str">
        <x:v>08-28</x:v>
      </x:c>
      <x:c r="O5" s="2" t="n">
        <x:f>'C01_App启动'!B17</x:f>
        <x:v>551</x:v>
      </x:c>
      <x:c r="P5" s="2"/>
      <x:c r="Q5" s="2" t="str">
        <x:v>js</x:v>
      </x:c>
      <x:c r="R5" s="2" t="n">
        <x:f>'C02_事件SDK'!B17</x:f>
        <x:v>322</x:v>
      </x:c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 t="str">
        <x:v>08-29</x:v>
      </x:c>
      <x:c r="O6" s="2" t="n">
        <x:f>'C01_App启动'!B18</x:f>
        <x:v>477</x:v>
      </x:c>
      <x:c r="P6" s="2"/>
      <x:c r="Q6" s="2" t="str">
        <x:v>python</x:v>
      </x:c>
      <x:c r="R6" s="2" t="n">
        <x:f>'C02_事件SDK'!B18</x:f>
        <x:v>67</x:v>
      </x:c>
    </x:row>
    <x:row r="7">
      <x:c r="A7" s="110" t="str">
        <x:v>App 启动用户数</x:v>
      </x:c>
      <x:c r="B7" s="111" t="str">
        <x:v>App 启动用户数</x:v>
      </x:c>
      <x:c r="C7" s="111" t="str">
        <x:v>App 启动用户数</x:v>
      </x:c>
      <x:c r="D7" s="112" t="str">
        <x:v>App 启动用户数</x:v>
      </x:c>
      <x:c r="E7" s="158" t="str">
        <x:v>退出房间总次数</x:v>
      </x:c>
      <x:c r="F7" s="159" t="str">
        <x:v>退出房间总次数</x:v>
      </x:c>
      <x:c r="G7" s="159" t="str">
        <x:v>退出房间总次数</x:v>
      </x:c>
      <x:c r="H7" s="160" t="str">
        <x:v>退出房间总次数</x:v>
      </x:c>
      <x:c r="I7" s="110" t="str">
        <x:v>漏斗总转化率</x:v>
      </x:c>
      <x:c r="J7" s="111" t="str">
        <x:v>漏斗总转化率</x:v>
      </x:c>
      <x:c r="K7" s="111" t="str">
        <x:v>漏斗总转化率</x:v>
      </x:c>
      <x:c r="L7" s="112" t="str">
        <x:v>漏斗总转化率</x:v>
      </x:c>
      <x:c r="M7" s="2"/>
      <x:c r="N7" s="2" t="str">
        <x:v>08-30</x:v>
      </x:c>
      <x:c r="O7" s="2" t="n">
        <x:f>'C01_App启动'!B19</x:f>
        <x:v>497</x:v>
      </x:c>
      <x:c r="P7" s="2"/>
      <x:c r="Q7" s="2"/>
      <x:c r="R7" s="2"/>
    </x:row>
    <x:row r="8">
      <x:c r="A8" s="131" t="n">
        <x:f>'C01_App启动'!A6</x:f>
        <x:v>3585</x:v>
      </x:c>
      <x:c r="B8" s="132"/>
      <x:c r="C8" s="132"/>
      <x:c r="D8" s="133"/>
      <x:c r="E8" s="260" t="n">
        <x:f>'C02_事件SDK'!A6</x:f>
        <x:v>1385</x:v>
      </x:c>
      <x:c r="F8" s="261"/>
      <x:c r="G8" s="261"/>
      <x:c r="H8" s="262"/>
      <x:c r="I8" s="278" t="n">
        <x:f>'C03_漏斗'!I6</x:f>
        <x:v>0.3145</x:v>
      </x:c>
      <x:c r="J8" s="279"/>
      <x:c r="K8" s="279"/>
      <x:c r="L8" s="280"/>
      <x:c r="M8" s="2"/>
      <x:c r="N8" s="2" t="str">
        <x:v>08-31</x:v>
      </x:c>
      <x:c r="O8" s="2" t="n">
        <x:f>'C01_App启动'!B20</x:f>
        <x:v>514</x:v>
      </x:c>
      <x:c r="P8" s="2"/>
      <x:c r="Q8" s="2"/>
      <x:c r="R8" s="2"/>
    </x:row>
    <x:row r="9">
      <x:c r="A9" s="137"/>
      <x:c r="B9" s="138"/>
      <x:c r="C9" s="138"/>
      <x:c r="D9" s="139"/>
      <x:c r="E9" s="266"/>
      <x:c r="F9" s="267"/>
      <x:c r="G9" s="267"/>
      <x:c r="H9" s="268"/>
      <x:c r="I9" s="284"/>
      <x:c r="J9" s="285"/>
      <x:c r="K9" s="285"/>
      <x:c r="L9" s="286"/>
      <x:c r="M9" s="2"/>
      <x:c r="N9" s="2" t="str">
        <x:v>09-01</x:v>
      </x:c>
      <x:c r="O9" s="2" t="n">
        <x:f>'C01_App启动'!B21</x:f>
        <x:v>500</x:v>
      </x:c>
      <x:c r="P9" s="2"/>
      <x:c r="Q9" s="2"/>
      <x:c r="R9" s="2"/>
    </x:row>
    <x:row r="10">
      <x:c r="A10" s="469" t="str">
        <x:v>合计｜2026-08-26 至 09-01</x:v>
      </x:c>
      <x:c r="B10" s="470" t="str">
        <x:v>合计｜2026-08-26 至 09-01</x:v>
      </x:c>
      <x:c r="C10" s="470" t="str">
        <x:v>合计｜2026-08-26 至 09-01</x:v>
      </x:c>
      <x:c r="D10" s="471" t="str">
        <x:v>合计｜2026-08-26 至 09-01</x:v>
      </x:c>
      <x:c r="E10" s="487" t="str">
        <x:v>按 SDK 汇总｜2026-09-02</x:v>
      </x:c>
      <x:c r="F10" s="488" t="str">
        <x:v>按 SDK 汇总｜2026-09-02</x:v>
      </x:c>
      <x:c r="G10" s="488" t="str">
        <x:v>按 SDK 汇总｜2026-09-02</x:v>
      </x:c>
      <x:c r="H10" s="489" t="str">
        <x:v>按 SDK 汇总｜2026-09-02</x:v>
      </x:c>
      <x:c r="I10" s="469" t="str">
        <x:v>匹配页面浏览 → 退出房间</x:v>
      </x:c>
      <x:c r="J10" s="470" t="str">
        <x:v>匹配页面浏览 → 退出房间</x:v>
      </x:c>
      <x:c r="K10" s="470" t="str">
        <x:v>匹配页面浏览 → 退出房间</x:v>
      </x:c>
      <x:c r="L10" s="471" t="str">
        <x:v>匹配页面浏览 → 退出房间</x:v>
      </x:c>
      <x:c r="M10" s="2"/>
      <x:c r="N10" s="2"/>
      <x:c r="O10" s="2"/>
      <x:c r="P10" s="2"/>
      <x:c r="Q10" s="2"/>
      <x:c r="R10" s="2"/>
    </x:row>
    <x:row r="11">
      <x:c r="A11" s="472" t="str">
        <x:v>合计｜2026-08-26 至 09-01</x:v>
      </x:c>
      <x:c r="B11" s="473" t="str">
        <x:v>合计｜2026-08-26 至 09-01</x:v>
      </x:c>
      <x:c r="C11" s="473" t="str">
        <x:v>合计｜2026-08-26 至 09-01</x:v>
      </x:c>
      <x:c r="D11" s="474" t="str">
        <x:v>合计｜2026-08-26 至 09-01</x:v>
      </x:c>
      <x:c r="E11" s="490" t="str">
        <x:v>按 SDK 汇总｜2026-09-02</x:v>
      </x:c>
      <x:c r="F11" s="491" t="str">
        <x:v>按 SDK 汇总｜2026-09-02</x:v>
      </x:c>
      <x:c r="G11" s="491" t="str">
        <x:v>按 SDK 汇总｜2026-09-02</x:v>
      </x:c>
      <x:c r="H11" s="492" t="str">
        <x:v>按 SDK 汇总｜2026-09-02</x:v>
      </x:c>
      <x:c r="I11" s="472" t="str">
        <x:v>匹配页面浏览 → 退出房间</x:v>
      </x:c>
      <x:c r="J11" s="473" t="str">
        <x:v>匹配页面浏览 → 退出房间</x:v>
      </x:c>
      <x:c r="K11" s="473" t="str">
        <x:v>匹配页面浏览 → 退出房间</x:v>
      </x:c>
      <x:c r="L11" s="474" t="str">
        <x:v>匹配页面浏览 → 退出房间</x:v>
      </x:c>
      <x:c r="M11" s="2"/>
      <x:c r="N11" s="2"/>
      <x:c r="O11" s="2"/>
      <x:c r="P11" s="2"/>
      <x:c r="Q11" s="2"/>
      <x:c r="R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>
      <x:c r="A13" s="205" t="str">
        <x:v>次日留存率</x:v>
      </x:c>
      <x:c r="B13" s="206" t="str">
        <x:v>次日留存率</x:v>
      </x:c>
      <x:c r="C13" s="206" t="str">
        <x:v>次日留存率</x:v>
      </x:c>
      <x:c r="D13" s="207" t="str">
        <x:v>次日留存率</x:v>
      </x:c>
      <x:c r="E13" s="110" t="str">
        <x:v>分布用户日合计</x:v>
      </x:c>
      <x:c r="F13" s="111" t="str">
        <x:v>分布用户日合计</x:v>
      </x:c>
      <x:c r="G13" s="111" t="str">
        <x:v>分布用户日合计</x:v>
      </x:c>
      <x:c r="H13" s="112" t="str">
        <x:v>分布用户日合计</x:v>
      </x:c>
      <x:c r="I13" s="158" t="str">
        <x:v>加权人均次数</x:v>
      </x:c>
      <x:c r="J13" s="159" t="str">
        <x:v>加权人均次数</x:v>
      </x:c>
      <x:c r="K13" s="159" t="str">
        <x:v>加权人均次数</x:v>
      </x:c>
      <x:c r="L13" s="160" t="str">
        <x:v>加权人均次数</x:v>
      </x:c>
      <x:c r="M13" s="2"/>
      <x:c r="N13" s="2"/>
      <x:c r="O13" s="2"/>
      <x:c r="P13" s="2"/>
      <x:c r="Q13" s="2"/>
      <x:c r="R13" s="2"/>
    </x:row>
    <x:row r="14">
      <x:c r="A14" s="338" t="n">
        <x:f>'C04_留存'!D6</x:f>
        <x:v>0.0081</x:v>
      </x:c>
      <x:c r="B14" s="339"/>
      <x:c r="C14" s="339"/>
      <x:c r="D14" s="340"/>
      <x:c r="E14" s="131" t="n">
        <x:f>'C05_分布'!A6</x:f>
        <x:v>2992</x:v>
      </x:c>
      <x:c r="F14" s="132"/>
      <x:c r="G14" s="132"/>
      <x:c r="H14" s="133"/>
      <x:c r="I14" s="399" t="n">
        <x:f>'C05_分布'!E6</x:f>
        <x:v>1.375394385026738</x:v>
      </x:c>
      <x:c r="J14" s="400"/>
      <x:c r="K14" s="400"/>
      <x:c r="L14" s="401"/>
      <x:c r="M14" s="2"/>
      <x:c r="N14" s="2"/>
      <x:c r="O14" s="2"/>
      <x:c r="P14" s="2"/>
      <x:c r="Q14" s="2"/>
      <x:c r="R14" s="2"/>
    </x:row>
    <x:row r="15">
      <x:c r="A15" s="344"/>
      <x:c r="B15" s="345"/>
      <x:c r="C15" s="345"/>
      <x:c r="D15" s="346"/>
      <x:c r="E15" s="137"/>
      <x:c r="F15" s="138"/>
      <x:c r="G15" s="138"/>
      <x:c r="H15" s="139"/>
      <x:c r="I15" s="405"/>
      <x:c r="J15" s="406"/>
      <x:c r="K15" s="406"/>
      <x:c r="L15" s="407"/>
      <x:c r="M15" s="2"/>
      <x:c r="N15" s="2"/>
      <x:c r="O15" s="2"/>
      <x:c r="P15" s="2"/>
      <x:c r="Q15" s="2"/>
      <x:c r="R15" s="2"/>
    </x:row>
    <x:row r="16">
      <x:c r="A16" s="505" t="str">
        <x:v>平台汇总口径｜近 7 日</x:v>
      </x:c>
      <x:c r="B16" s="506" t="str">
        <x:v>平台汇总口径｜近 7 日</x:v>
      </x:c>
      <x:c r="C16" s="506" t="str">
        <x:v>平台汇总口径｜近 7 日</x:v>
      </x:c>
      <x:c r="D16" s="507" t="str">
        <x:v>平台汇总口径｜近 7 日</x:v>
      </x:c>
      <x:c r="E16" s="469" t="str">
        <x:v>逐日人数相加，不跨日去重</x:v>
      </x:c>
      <x:c r="F16" s="470" t="str">
        <x:v>逐日人数相加，不跨日去重</x:v>
      </x:c>
      <x:c r="G16" s="470" t="str">
        <x:v>逐日人数相加，不跨日去重</x:v>
      </x:c>
      <x:c r="H16" s="471" t="str">
        <x:v>逐日人数相加，不跨日去重</x:v>
      </x:c>
      <x:c r="I16" s="487" t="str">
        <x:v>按每日用户数加权</x:v>
      </x:c>
      <x:c r="J16" s="488" t="str">
        <x:v>按每日用户数加权</x:v>
      </x:c>
      <x:c r="K16" s="488" t="str">
        <x:v>按每日用户数加权</x:v>
      </x:c>
      <x:c r="L16" s="489" t="str">
        <x:v>按每日用户数加权</x:v>
      </x:c>
      <x:c r="M16" s="2"/>
      <x:c r="N16" s="2"/>
      <x:c r="O16" s="2"/>
      <x:c r="P16" s="2"/>
      <x:c r="Q16" s="2"/>
      <x:c r="R16" s="2"/>
    </x:row>
    <x:row r="17">
      <x:c r="A17" s="508" t="str">
        <x:v>平台汇总口径｜近 7 日</x:v>
      </x:c>
      <x:c r="B17" s="509" t="str">
        <x:v>平台汇总口径｜近 7 日</x:v>
      </x:c>
      <x:c r="C17" s="509" t="str">
        <x:v>平台汇总口径｜近 7 日</x:v>
      </x:c>
      <x:c r="D17" s="510" t="str">
        <x:v>平台汇总口径｜近 7 日</x:v>
      </x:c>
      <x:c r="E17" s="472" t="str">
        <x:v>逐日人数相加，不跨日去重</x:v>
      </x:c>
      <x:c r="F17" s="473" t="str">
        <x:v>逐日人数相加，不跨日去重</x:v>
      </x:c>
      <x:c r="G17" s="473" t="str">
        <x:v>逐日人数相加，不跨日去重</x:v>
      </x:c>
      <x:c r="H17" s="474" t="str">
        <x:v>逐日人数相加，不跨日去重</x:v>
      </x:c>
      <x:c r="I17" s="490" t="str">
        <x:v>按每日用户数加权</x:v>
      </x:c>
      <x:c r="J17" s="491" t="str">
        <x:v>按每日用户数加权</x:v>
      </x:c>
      <x:c r="K17" s="491" t="str">
        <x:v>按每日用户数加权</x:v>
      </x:c>
      <x:c r="L17" s="492" t="str">
        <x:v>按每日用户数加权</x:v>
      </x:c>
      <x:c r="M17" s="2"/>
      <x:c r="N17" s="2"/>
      <x:c r="O17" s="2"/>
      <x:c r="P17" s="2"/>
      <x:c r="Q17" s="2"/>
      <x:c r="R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>
      <x:c r="A36" s="381" t="str">
        <x:v>查看完整结果：02_卡片索引 → 对应 C01～C05 Sheet。任何元数据缺失、未成熟窗口或能力限制统一记录在 99_异常与限制。</x:v>
      </x:c>
      <x:c r="B36" s="382" t="str">
        <x:v>查看完整结果：02_卡片索引 → 对应 C01～C05 Sheet。任何元数据缺失、未成熟窗口或能力限制统一记录在 99_异常与限制。</x:v>
      </x:c>
      <x:c r="C36" s="382" t="str">
        <x:v>查看完整结果：02_卡片索引 → 对应 C01～C05 Sheet。任何元数据缺失、未成熟窗口或能力限制统一记录在 99_异常与限制。</x:v>
      </x:c>
      <x:c r="D36" s="382" t="str">
        <x:v>查看完整结果：02_卡片索引 → 对应 C01～C05 Sheet。任何元数据缺失、未成熟窗口或能力限制统一记录在 99_异常与限制。</x:v>
      </x:c>
      <x:c r="E36" s="382" t="str">
        <x:v>查看完整结果：02_卡片索引 → 对应 C01～C05 Sheet。任何元数据缺失、未成熟窗口或能力限制统一记录在 99_异常与限制。</x:v>
      </x:c>
      <x:c r="F36" s="382" t="str">
        <x:v>查看完整结果：02_卡片索引 → 对应 C01～C05 Sheet。任何元数据缺失、未成熟窗口或能力限制统一记录在 99_异常与限制。</x:v>
      </x:c>
      <x:c r="G36" s="382" t="str">
        <x:v>查看完整结果：02_卡片索引 → 对应 C01～C05 Sheet。任何元数据缺失、未成熟窗口或能力限制统一记录在 99_异常与限制。</x:v>
      </x:c>
      <x:c r="H36" s="382" t="str">
        <x:v>查看完整结果：02_卡片索引 → 对应 C01～C05 Sheet。任何元数据缺失、未成熟窗口或能力限制统一记录在 99_异常与限制。</x:v>
      </x:c>
      <x:c r="I36" s="382" t="str">
        <x:v>查看完整结果：02_卡片索引 → 对应 C01～C05 Sheet。任何元数据缺失、未成熟窗口或能力限制统一记录在 99_异常与限制。</x:v>
      </x:c>
      <x:c r="J36" s="382" t="str">
        <x:v>查看完整结果：02_卡片索引 → 对应 C01～C05 Sheet。任何元数据缺失、未成熟窗口或能力限制统一记录在 99_异常与限制。</x:v>
      </x:c>
      <x:c r="K36" s="382" t="str">
        <x:v>查看完整结果：02_卡片索引 → 对应 C01～C05 Sheet。任何元数据缺失、未成熟窗口或能力限制统一记录在 99_异常与限制。</x:v>
      </x:c>
      <x:c r="L36" s="383" t="str">
        <x:v>查看完整结果：02_卡片索引 → 对应 C01～C05 Sheet。任何元数据缺失、未成熟窗口或能力限制统一记录在 99_异常与限制。</x:v>
      </x:c>
      <x:c r="M36" s="2"/>
      <x:c r="N36" s="2"/>
      <x:c r="O36" s="2"/>
      <x:c r="P36" s="2"/>
      <x:c r="Q36" s="2"/>
      <x:c r="R36" s="2"/>
    </x:row>
    <x:row r="37">
      <x:c r="A37" s="384" t="str">
        <x:v>查看完整结果：02_卡片索引 → 对应 C01～C05 Sheet。任何元数据缺失、未成熟窗口或能力限制统一记录在 99_异常与限制。</x:v>
      </x:c>
      <x:c r="B37" s="385" t="str">
        <x:v>查看完整结果：02_卡片索引 → 对应 C01～C05 Sheet。任何元数据缺失、未成熟窗口或能力限制统一记录在 99_异常与限制。</x:v>
      </x:c>
      <x:c r="C37" s="385" t="str">
        <x:v>查看完整结果：02_卡片索引 → 对应 C01～C05 Sheet。任何元数据缺失、未成熟窗口或能力限制统一记录在 99_异常与限制。</x:v>
      </x:c>
      <x:c r="D37" s="385" t="str">
        <x:v>查看完整结果：02_卡片索引 → 对应 C01～C05 Sheet。任何元数据缺失、未成熟窗口或能力限制统一记录在 99_异常与限制。</x:v>
      </x:c>
      <x:c r="E37" s="385" t="str">
        <x:v>查看完整结果：02_卡片索引 → 对应 C01～C05 Sheet。任何元数据缺失、未成熟窗口或能力限制统一记录在 99_异常与限制。</x:v>
      </x:c>
      <x:c r="F37" s="385" t="str">
        <x:v>查看完整结果：02_卡片索引 → 对应 C01～C05 Sheet。任何元数据缺失、未成熟窗口或能力限制统一记录在 99_异常与限制。</x:v>
      </x:c>
      <x:c r="G37" s="385" t="str">
        <x:v>查看完整结果：02_卡片索引 → 对应 C01～C05 Sheet。任何元数据缺失、未成熟窗口或能力限制统一记录在 99_异常与限制。</x:v>
      </x:c>
      <x:c r="H37" s="385" t="str">
        <x:v>查看完整结果：02_卡片索引 → 对应 C01～C05 Sheet。任何元数据缺失、未成熟窗口或能力限制统一记录在 99_异常与限制。</x:v>
      </x:c>
      <x:c r="I37" s="385" t="str">
        <x:v>查看完整结果：02_卡片索引 → 对应 C01～C05 Sheet。任何元数据缺失、未成熟窗口或能力限制统一记录在 99_异常与限制。</x:v>
      </x:c>
      <x:c r="J37" s="385" t="str">
        <x:v>查看完整结果：02_卡片索引 → 对应 C01～C05 Sheet。任何元数据缺失、未成熟窗口或能力限制统一记录在 99_异常与限制。</x:v>
      </x:c>
      <x:c r="K37" s="385" t="str">
        <x:v>查看完整结果：02_卡片索引 → 对应 C01～C05 Sheet。任何元数据缺失、未成熟窗口或能力限制统一记录在 99_异常与限制。</x:v>
      </x:c>
      <x:c r="L37" s="386" t="str">
        <x:v>查看完整结果：02_卡片索引 → 对应 C01～C05 Sheet。任何元数据缺失、未成熟窗口或能力限制统一记录在 99_异常与限制。</x:v>
      </x:c>
      <x:c r="M37" s="2"/>
      <x:c r="N37" s="2"/>
      <x:c r="O37" s="2"/>
      <x:c r="P37" s="2"/>
      <x:c r="Q37" s="2"/>
      <x:c r="R37" s="2"/>
    </x:row>
    <x:row r="38">
      <x:c r="A38" s="387" t="str">
        <x:v>查看完整结果：02_卡片索引 → 对应 C01～C05 Sheet。任何元数据缺失、未成熟窗口或能力限制统一记录在 99_异常与限制。</x:v>
      </x:c>
      <x:c r="B38" s="388" t="str">
        <x:v>查看完整结果：02_卡片索引 → 对应 C01～C05 Sheet。任何元数据缺失、未成熟窗口或能力限制统一记录在 99_异常与限制。</x:v>
      </x:c>
      <x:c r="C38" s="388" t="str">
        <x:v>查看完整结果：02_卡片索引 → 对应 C01～C05 Sheet。任何元数据缺失、未成熟窗口或能力限制统一记录在 99_异常与限制。</x:v>
      </x:c>
      <x:c r="D38" s="388" t="str">
        <x:v>查看完整结果：02_卡片索引 → 对应 C01～C05 Sheet。任何元数据缺失、未成熟窗口或能力限制统一记录在 99_异常与限制。</x:v>
      </x:c>
      <x:c r="E38" s="388" t="str">
        <x:v>查看完整结果：02_卡片索引 → 对应 C01～C05 Sheet。任何元数据缺失、未成熟窗口或能力限制统一记录在 99_异常与限制。</x:v>
      </x:c>
      <x:c r="F38" s="388" t="str">
        <x:v>查看完整结果：02_卡片索引 → 对应 C01～C05 Sheet。任何元数据缺失、未成熟窗口或能力限制统一记录在 99_异常与限制。</x:v>
      </x:c>
      <x:c r="G38" s="388" t="str">
        <x:v>查看完整结果：02_卡片索引 → 对应 C01～C05 Sheet。任何元数据缺失、未成熟窗口或能力限制统一记录在 99_异常与限制。</x:v>
      </x:c>
      <x:c r="H38" s="388" t="str">
        <x:v>查看完整结果：02_卡片索引 → 对应 C01～C05 Sheet。任何元数据缺失、未成熟窗口或能力限制统一记录在 99_异常与限制。</x:v>
      </x:c>
      <x:c r="I38" s="388" t="str">
        <x:v>查看完整结果：02_卡片索引 → 对应 C01～C05 Sheet。任何元数据缺失、未成熟窗口或能力限制统一记录在 99_异常与限制。</x:v>
      </x:c>
      <x:c r="J38" s="388" t="str">
        <x:v>查看完整结果：02_卡片索引 → 对应 C01～C05 Sheet。任何元数据缺失、未成熟窗口或能力限制统一记录在 99_异常与限制。</x:v>
      </x:c>
      <x:c r="K38" s="388" t="str">
        <x:v>查看完整结果：02_卡片索引 → 对应 C01～C05 Sheet。任何元数据缺失、未成熟窗口或能力限制统一记录在 99_异常与限制。</x:v>
      </x:c>
      <x:c r="L38" s="389" t="str">
        <x:v>查看完整结果：02_卡片索引 → 对应 C01～C05 Sheet。任何元数据缺失、未成熟窗口或能力限制统一记录在 99_异常与限制。</x:v>
      </x:c>
      <x:c r="M38" s="2"/>
      <x:c r="N38" s="2"/>
      <x:c r="O38" s="2"/>
      <x:c r="P38" s="2"/>
      <x:c r="Q38" s="2"/>
      <x:c r="R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</x:sheetData>
  <x:mergeCells>
    <x:mergeCell ref="A1:L2"/>
    <x:mergeCell ref="A3:L3"/>
    <x:mergeCell ref="A4:C4"/>
    <x:mergeCell ref="A5:C5"/>
    <x:mergeCell ref="D4:F4"/>
    <x:mergeCell ref="D5:F5"/>
    <x:mergeCell ref="G4:I4"/>
    <x:mergeCell ref="G5:I5"/>
    <x:mergeCell ref="J4:L4"/>
    <x:mergeCell ref="J5:L5"/>
    <x:mergeCell ref="A7:D7"/>
    <x:mergeCell ref="A8:D9"/>
    <x:mergeCell ref="A10:D11"/>
    <x:mergeCell ref="E7:H7"/>
    <x:mergeCell ref="E8:H9"/>
    <x:mergeCell ref="E10:H11"/>
    <x:mergeCell ref="I7:L7"/>
    <x:mergeCell ref="I8:L9"/>
    <x:mergeCell ref="I10:L11"/>
    <x:mergeCell ref="A13:D13"/>
    <x:mergeCell ref="A14:D15"/>
    <x:mergeCell ref="A16:D17"/>
    <x:mergeCell ref="E13:H13"/>
    <x:mergeCell ref="E14:H15"/>
    <x:mergeCell ref="E16:H17"/>
    <x:mergeCell ref="I13:L13"/>
    <x:mergeCell ref="I14:L15"/>
    <x:mergeCell ref="I16:L17"/>
    <x:mergeCell ref="A36:L38"/>
  </x:mergeCells>
  <x:pageMargins left="0.7" right="0.7" top="0.75" bottom="0.75" header="0.3" footer="0.3"/>
  <x:drawing xmlns:r="http://schemas.openxmlformats.org/officeDocument/2006/relationships" r:id="R9225bf36557e45d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5" hidden="0" customWidth="1"/>
    <x:col min="4" max="4" width="24" hidden="0" customWidth="1"/>
    <x:col min="5" max="5" width="24" hidden="0" customWidth="1"/>
    <x:col min="6" max="6" width="18" hidden="0" customWidth="1"/>
    <x:col min="7" max="7" width="20" hidden="0" customWidth="1"/>
    <x:col min="8" max="8" width="18" hidden="0" customWidth="1"/>
    <x:col min="9" max="9" width="34" hidden="0" customWidth="1"/>
  </x:cols>
  <x:sheetData>
    <x:row r="1">
      <x:c r="A1" s="17" t="str">
        <x:v>卡片索引</x:v>
      </x:c>
      <x:c r="B1" s="18" t="str">
        <x:v>卡片索引</x:v>
      </x:c>
      <x:c r="C1" s="18" t="str">
        <x:v>卡片索引</x:v>
      </x:c>
      <x:c r="D1" s="18" t="str">
        <x:v>卡片索引</x:v>
      </x:c>
      <x:c r="E1" s="18" t="str">
        <x:v>卡片索引</x:v>
      </x:c>
      <x:c r="F1" s="18" t="str">
        <x:v>卡片索引</x:v>
      </x:c>
      <x:c r="G1" s="18" t="str">
        <x:v>卡片索引</x:v>
      </x:c>
      <x:c r="H1" s="18" t="str">
        <x:v>卡片索引</x:v>
      </x:c>
      <x:c r="I1" s="19" t="str">
        <x:v>卡片索引</x:v>
      </x:c>
    </x:row>
    <x:row r="2">
      <x:c r="A2" s="20" t="str">
        <x:v>卡片索引</x:v>
      </x:c>
      <x:c r="B2" s="21" t="str">
        <x:v>卡片索引</x:v>
      </x:c>
      <x:c r="C2" s="21" t="str">
        <x:v>卡片索引</x:v>
      </x:c>
      <x:c r="D2" s="21" t="str">
        <x:v>卡片索引</x:v>
      </x:c>
      <x:c r="E2" s="21" t="str">
        <x:v>卡片索引</x:v>
      </x:c>
      <x:c r="F2" s="21" t="str">
        <x:v>卡片索引</x:v>
      </x:c>
      <x:c r="G2" s="21" t="str">
        <x:v>卡片索引</x:v>
      </x:c>
      <x:c r="H2" s="21" t="str">
        <x:v>卡片索引</x:v>
      </x:c>
      <x:c r="I2" s="22" t="str">
        <x:v>卡片索引</x:v>
      </x:c>
    </x:row>
    <x:row r="3">
      <x:c r="A3" s="31" t="str">
        <x:v>每张卡片保留独立分析结构；从这里定位对应 Sheet 和数据边界。</x:v>
      </x:c>
      <x:c r="B3" s="32" t="str">
        <x:v>每张卡片保留独立分析结构；从这里定位对应 Sheet 和数据边界。</x:v>
      </x:c>
      <x:c r="C3" s="32" t="str">
        <x:v>每张卡片保留独立分析结构；从这里定位对应 Sheet 和数据边界。</x:v>
      </x:c>
      <x:c r="D3" s="32" t="str">
        <x:v>每张卡片保留独立分析结构；从这里定位对应 Sheet 和数据边界。</x:v>
      </x:c>
      <x:c r="E3" s="32" t="str">
        <x:v>每张卡片保留独立分析结构；从这里定位对应 Sheet 和数据边界。</x:v>
      </x:c>
      <x:c r="F3" s="32" t="str">
        <x:v>每张卡片保留独立分析结构；从这里定位对应 Sheet 和数据边界。</x:v>
      </x:c>
      <x:c r="G3" s="32" t="str">
        <x:v>每张卡片保留独立分析结构；从这里定位对应 Sheet 和数据边界。</x:v>
      </x:c>
      <x:c r="H3" s="32" t="str">
        <x:v>每张卡片保留独立分析结构；从这里定位对应 Sheet 和数据边界。</x:v>
      </x:c>
      <x:c r="I3" s="33" t="str">
        <x:v>每张卡片保留独立分析结构；从这里定位对应 Sheet 和数据边界。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53" t="str">
        <x:v>卡片 ID</x:v>
      </x:c>
      <x:c r="B6" s="53" t="str">
        <x:v>卡片名称</x:v>
      </x:c>
      <x:c r="C6" s="53" t="str">
        <x:v>来源类型</x:v>
      </x:c>
      <x:c r="D6" s="53" t="str">
        <x:v>核心指标/结果</x:v>
      </x:c>
      <x:c r="E6" s="53" t="str">
        <x:v>日期范围</x:v>
      </x:c>
      <x:c r="F6" s="53" t="str">
        <x:v>分组/步骤</x:v>
      </x:c>
      <x:c r="G6" s="53" t="str">
        <x:v>目标 Sheet</x:v>
      </x:c>
      <x:c r="H6" s="53" t="str">
        <x:v>数据状态</x:v>
      </x:c>
      <x:c r="I6" s="53" t="str">
        <x:v>说明</x:v>
      </x:c>
    </x:row>
    <x:row r="7">
      <x:c r="A7" s="418" t="str">
        <x:v>C01</x:v>
      </x:c>
      <x:c r="B7" s="64" t="str">
        <x:v>App 启动用户</x:v>
      </x:c>
      <x:c r="C7" s="64" t="str">
        <x:v>事件分析</x:v>
      </x:c>
      <x:c r="D7" s="64" t="str">
        <x:v>用户数</x:v>
      </x:c>
      <x:c r="E7" s="64" t="str">
        <x:v>2026-08-26 至 09-01</x:v>
      </x:c>
      <x:c r="F7" s="64" t="str">
        <x:v>无</x:v>
      </x:c>
      <x:c r="G7" s="64" t="str">
        <x:v>C01_App启动</x:v>
      </x:c>
      <x:c r="H7" s="64" t="str">
        <x:v>完整</x:v>
      </x:c>
      <x:c r="I7" s="65" t="str">
        <x:v>含汇总与按日趋势</x:v>
      </x:c>
    </x:row>
    <x:row r="8">
      <x:c r="A8" s="418" t="str">
        <x:v>C02</x:v>
      </x:c>
      <x:c r="B8" s="67" t="str">
        <x:v>退出房间事件 · SDK</x:v>
      </x:c>
      <x:c r="C8" s="67" t="str">
        <x:v>事件分析</x:v>
      </x:c>
      <x:c r="D8" s="67" t="str">
        <x:v>总次数</x:v>
      </x:c>
      <x:c r="E8" s="67" t="str">
        <x:v>2026-09-02</x:v>
      </x:c>
      <x:c r="F8" s="67" t="str">
        <x:v>SDK 类型</x:v>
      </x:c>
      <x:c r="G8" s="67" t="str">
        <x:v>C02_事件SDK</x:v>
      </x:c>
      <x:c r="H8" s="67" t="str">
        <x:v>完整</x:v>
      </x:c>
      <x:c r="I8" s="68" t="str">
        <x:v>含分组汇总与图表</x:v>
      </x:c>
    </x:row>
    <x:row r="9">
      <x:c r="A9" s="418" t="str">
        <x:v>C03</x:v>
      </x:c>
      <x:c r="B9" s="67" t="str">
        <x:v>匹配页面浏览 → 退出房间</x:v>
      </x:c>
      <x:c r="C9" s="67" t="str">
        <x:v>漏斗分析</x:v>
      </x:c>
      <x:c r="D9" s="67" t="str">
        <x:v>步骤人数、转化率、流失</x:v>
      </x:c>
      <x:c r="E9" s="67" t="str">
        <x:v>2026-08-31 至 09-02</x:v>
      </x:c>
      <x:c r="F9" s="67" t="str">
        <x:v>2 个步骤</x:v>
      </x:c>
      <x:c r="G9" s="67" t="str">
        <x:v>C03_漏斗</x:v>
      </x:c>
      <x:c r="H9" s="67" t="str">
        <x:v>部分元数据缺失</x:v>
      </x:c>
      <x:c r="I9" s="68" t="str">
        <x:v>不含转化耗时与用户清单</x:v>
      </x:c>
    </x:row>
    <x:row r="10">
      <x:c r="A10" s="418" t="str">
        <x:v>C04</x:v>
      </x:c>
      <x:c r="B10" s="67" t="str">
        <x:v>近 7 日留存</x:v>
      </x:c>
      <x:c r="C10" s="67" t="str">
        <x:v>留存分析</x:v>
      </x:c>
      <x:c r="D10" s="67" t="str">
        <x:v>人数矩阵、留存率矩阵</x:v>
      </x:c>
      <x:c r="E10" s="67" t="str">
        <x:v>2026-08-26 至 09-01</x:v>
      </x:c>
      <x:c r="F10" s="67" t="str">
        <x:v>第 1～7 日</x:v>
      </x:c>
      <x:c r="G10" s="67" t="str">
        <x:v>C04_留存</x:v>
      </x:c>
      <x:c r="H10" s="67" t="str">
        <x:v>已处理未成熟窗口</x:v>
      </x:c>
      <x:c r="I10" s="68" t="str">
        <x:v>未成熟位置留空</x:v>
      </x:c>
    </x:row>
    <x:row r="11">
      <x:c r="A11" s="418" t="str">
        <x:v>C05</x:v>
      </x:c>
      <x:c r="B11" s="70" t="str">
        <x:v>退出房间次数分布</x:v>
      </x:c>
      <x:c r="C11" s="70" t="str">
        <x:v>分布分析</x:v>
      </x:c>
      <x:c r="D11" s="70" t="str">
        <x:v>人均值、区间人数/占比</x:v>
      </x:c>
      <x:c r="E11" s="70" t="str">
        <x:v>2026-08-31 至 09-02</x:v>
      </x:c>
      <x:c r="F11" s="70" t="str">
        <x:v>次数区间</x:v>
      </x:c>
      <x:c r="G11" s="70" t="str">
        <x:v>C05_分布</x:v>
      </x:c>
      <x:c r="H11" s="70" t="str">
        <x:v>完整</x:v>
      </x:c>
      <x:c r="I11" s="71" t="str">
        <x:v>逐日聚合结果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>
      <x:c r="A14" s="42" t="str">
        <x:v>如何阅读</x:v>
      </x:c>
      <x:c r="B14" s="43" t="str">
        <x:v>如何阅读</x:v>
      </x:c>
      <x:c r="C14" s="43" t="str">
        <x:v>如何阅读</x:v>
      </x:c>
      <x:c r="D14" s="43" t="str">
        <x:v>如何阅读</x:v>
      </x:c>
      <x:c r="E14" s="43" t="str">
        <x:v>如何阅读</x:v>
      </x:c>
      <x:c r="F14" s="43" t="str">
        <x:v>如何阅读</x:v>
      </x:c>
      <x:c r="G14" s="43" t="str">
        <x:v>如何阅读</x:v>
      </x:c>
      <x:c r="H14" s="43" t="str">
        <x:v>如何阅读</x:v>
      </x:c>
      <x:c r="I14" s="44" t="str">
        <x:v>如何阅读</x:v>
      </x:c>
    </x:row>
    <x:row r="15">
      <x:c r="A15" s="421" t="str">
        <x:v>先看</x:v>
      </x:c>
      <x:c r="B15" s="47" t="str">
        <x:v>01_看板总览：看板级摘要与关键图表。</x:v>
      </x:c>
      <x:c r="C15" s="47"/>
      <x:c r="D15" s="47"/>
      <x:c r="E15" s="47"/>
      <x:c r="F15" s="47"/>
      <x:c r="G15" s="47"/>
      <x:c r="H15" s="47"/>
      <x:c r="I15" s="47"/>
    </x:row>
    <x:row r="16">
      <x:c r="A16" s="421" t="str">
        <x:v>再看</x:v>
      </x:c>
      <x:c r="B16" s="47" t="str">
        <x:v>目标卡片 Sheet：查看对应分析类型的聚合结果和明细。</x:v>
      </x:c>
      <x:c r="C16" s="47"/>
      <x:c r="D16" s="47"/>
      <x:c r="E16" s="47"/>
      <x:c r="F16" s="47"/>
      <x:c r="G16" s="47"/>
      <x:c r="H16" s="47"/>
      <x:c r="I16" s="47"/>
    </x:row>
    <x:row r="17">
      <x:c r="A17" s="421" t="str">
        <x:v>最后看</x:v>
      </x:c>
      <x:c r="B17" s="47" t="str">
        <x:v>99_异常与限制：确认是否存在时间不一致、元数据缺失或数据成熟度问题。</x:v>
      </x:c>
      <x:c r="C17" s="47"/>
      <x:c r="D17" s="47"/>
      <x:c r="E17" s="47"/>
      <x:c r="F17" s="47"/>
      <x:c r="G17" s="47"/>
      <x:c r="H17" s="47"/>
      <x:c r="I17" s="47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</x:sheetData>
  <x:mergeCells>
    <x:mergeCell ref="A1:I2"/>
    <x:mergeCell ref="A3:I3"/>
    <x:mergeCell ref="A14:I14"/>
    <x:mergeCell ref="B15:I15"/>
    <x:mergeCell ref="B16:I16"/>
    <x:mergeCell ref="B17:I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7" t="str">
        <x:v>C01｜App 启动用户</x:v>
      </x:c>
      <x:c r="B1" s="18" t="str">
        <x:v>C01｜App 启动用户</x:v>
      </x:c>
      <x:c r="C1" s="18" t="str">
        <x:v>C01｜App 启动用户</x:v>
      </x:c>
      <x:c r="D1" s="18" t="str">
        <x:v>C01｜App 启动用户</x:v>
      </x:c>
      <x:c r="E1" s="18" t="str">
        <x:v>C01｜App 启动用户</x:v>
      </x:c>
      <x:c r="F1" s="18" t="str">
        <x:v>C01｜App 启动用户</x:v>
      </x:c>
      <x:c r="G1" s="18" t="str">
        <x:v>C01｜App 启动用户</x:v>
      </x:c>
      <x:c r="H1" s="18" t="str">
        <x:v>C01｜App 启动用户</x:v>
      </x:c>
      <x:c r="I1" s="18" t="str">
        <x:v>C01｜App 启动用户</x:v>
      </x:c>
      <x:c r="J1" s="18" t="str">
        <x:v>C01｜App 启动用户</x:v>
      </x:c>
      <x:c r="K1" s="18" t="str">
        <x:v>C01｜App 启动用户</x:v>
      </x:c>
      <x:c r="L1" s="19" t="str">
        <x:v>C01｜App 启动用户</x:v>
      </x:c>
    </x:row>
    <x:row r="2">
      <x:c r="A2" s="20" t="str">
        <x:v>C01｜App 启动用户</x:v>
      </x:c>
      <x:c r="B2" s="21" t="str">
        <x:v>C01｜App 启动用户</x:v>
      </x:c>
      <x:c r="C2" s="21" t="str">
        <x:v>C01｜App 启动用户</x:v>
      </x:c>
      <x:c r="D2" s="21" t="str">
        <x:v>C01｜App 启动用户</x:v>
      </x:c>
      <x:c r="E2" s="21" t="str">
        <x:v>C01｜App 启动用户</x:v>
      </x:c>
      <x:c r="F2" s="21" t="str">
        <x:v>C01｜App 启动用户</x:v>
      </x:c>
      <x:c r="G2" s="21" t="str">
        <x:v>C01｜App 启动用户</x:v>
      </x:c>
      <x:c r="H2" s="21" t="str">
        <x:v>C01｜App 启动用户</x:v>
      </x:c>
      <x:c r="I2" s="21" t="str">
        <x:v>C01｜App 启动用户</x:v>
      </x:c>
      <x:c r="J2" s="21" t="str">
        <x:v>C01｜App 启动用户</x:v>
      </x:c>
      <x:c r="K2" s="21" t="str">
        <x:v>C01｜App 启动用户</x:v>
      </x:c>
      <x:c r="L2" s="22" t="str">
        <x:v>C01｜App 启动用户</x:v>
      </x:c>
    </x:row>
    <x:row r="3">
      <x:c r="A3" s="31" t="str">
        <x:v>来源类型：事件分析｜统计方式：用户数｜时间粒度：天</x:v>
      </x:c>
      <x:c r="B3" s="32" t="str">
        <x:v>来源类型：事件分析｜统计方式：用户数｜时间粒度：天</x:v>
      </x:c>
      <x:c r="C3" s="32" t="str">
        <x:v>来源类型：事件分析｜统计方式：用户数｜时间粒度：天</x:v>
      </x:c>
      <x:c r="D3" s="32" t="str">
        <x:v>来源类型：事件分析｜统计方式：用户数｜时间粒度：天</x:v>
      </x:c>
      <x:c r="E3" s="32" t="str">
        <x:v>来源类型：事件分析｜统计方式：用户数｜时间粒度：天</x:v>
      </x:c>
      <x:c r="F3" s="32" t="str">
        <x:v>来源类型：事件分析｜统计方式：用户数｜时间粒度：天</x:v>
      </x:c>
      <x:c r="G3" s="32" t="str">
        <x:v>来源类型：事件分析｜统计方式：用户数｜时间粒度：天</x:v>
      </x:c>
      <x:c r="H3" s="32" t="str">
        <x:v>来源类型：事件分析｜统计方式：用户数｜时间粒度：天</x:v>
      </x:c>
      <x:c r="I3" s="32" t="str">
        <x:v>来源类型：事件分析｜统计方式：用户数｜时间粒度：天</x:v>
      </x:c>
      <x:c r="J3" s="32" t="str">
        <x:v>来源类型：事件分析｜统计方式：用户数｜时间粒度：天</x:v>
      </x:c>
      <x:c r="K3" s="32" t="str">
        <x:v>来源类型：事件分析｜统计方式：用户数｜时间粒度：天</x:v>
      </x:c>
      <x:c r="L3" s="33" t="str">
        <x:v>来源类型：事件分析｜统计方式：用户数｜时间粒度：天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110" t="str">
        <x:v>合计用户数</x:v>
      </x:c>
      <x:c r="B5" s="111" t="str">
        <x:v>合计用户数</x:v>
      </x:c>
      <x:c r="C5" s="112" t="str">
        <x:v>合计用户数</x:v>
      </x:c>
      <x:c r="D5" s="158" t="str">
        <x:v>日均用户数</x:v>
      </x:c>
      <x:c r="E5" s="159" t="str">
        <x:v>日均用户数</x:v>
      </x:c>
      <x:c r="F5" s="160" t="str">
        <x:v>日均用户数</x:v>
      </x:c>
      <x:c r="G5" s="110" t="str">
        <x:v>单日最高</x:v>
      </x:c>
      <x:c r="H5" s="111" t="str">
        <x:v>单日最高</x:v>
      </x:c>
      <x:c r="I5" s="112" t="str">
        <x:v>单日最高</x:v>
      </x:c>
      <x:c r="J5" s="205" t="str">
        <x:v>单日最低</x:v>
      </x:c>
      <x:c r="K5" s="206" t="str">
        <x:v>单日最低</x:v>
      </x:c>
      <x:c r="L5" s="207" t="str">
        <x:v>单日最低</x:v>
      </x:c>
    </x:row>
    <x:row r="6">
      <x:c r="A6" s="131" t="n">
        <x:f>SUM(B15:B21)</x:f>
        <x:v>3585</x:v>
      </x:c>
      <x:c r="B6" s="132"/>
      <x:c r="C6" s="133"/>
      <x:c r="D6" s="179" t="n">
        <x:f>AVERAGE(B15:B21)</x:f>
        <x:v>512.1428571428571</x:v>
      </x:c>
      <x:c r="E6" s="180"/>
      <x:c r="F6" s="181"/>
      <x:c r="G6" s="131" t="n">
        <x:f>MAX(B15:B21)</x:f>
        <x:v>551</x:v>
      </x:c>
      <x:c r="H6" s="132"/>
      <x:c r="I6" s="133"/>
      <x:c r="J6" s="226" t="n">
        <x:f>MIN(B15:B21)</x:f>
        <x:v>477</x:v>
      </x:c>
      <x:c r="K6" s="227"/>
      <x:c r="L6" s="228"/>
    </x:row>
    <x:row r="7">
      <x:c r="A7" s="134"/>
      <x:c r="B7" s="135"/>
      <x:c r="C7" s="136"/>
      <x:c r="D7" s="182"/>
      <x:c r="E7" s="183"/>
      <x:c r="F7" s="184"/>
      <x:c r="G7" s="134"/>
      <x:c r="H7" s="135"/>
      <x:c r="I7" s="136"/>
      <x:c r="J7" s="229"/>
      <x:c r="K7" s="230"/>
      <x:c r="L7" s="231"/>
    </x:row>
    <x:row r="8">
      <x:c r="A8" s="137"/>
      <x:c r="B8" s="138"/>
      <x:c r="C8" s="139"/>
      <x:c r="D8" s="185"/>
      <x:c r="E8" s="186"/>
      <x:c r="F8" s="187"/>
      <x:c r="G8" s="137"/>
      <x:c r="H8" s="138"/>
      <x:c r="I8" s="139"/>
      <x:c r="J8" s="232"/>
      <x:c r="K8" s="233"/>
      <x:c r="L8" s="234"/>
    </x:row>
    <x:row r="9">
      <x:c r="A9" s="147" t="str">
        <x:v>7 日用户数合计</x:v>
      </x:c>
      <x:c r="B9" s="148" t="str">
        <x:v>7 日用户数合计</x:v>
      </x:c>
      <x:c r="C9" s="149" t="str">
        <x:v>7 日用户数合计</x:v>
      </x:c>
      <x:c r="D9" s="195" t="str">
        <x:v>按 7 个自然日平均</x:v>
      </x:c>
      <x:c r="E9" s="196" t="str">
        <x:v>按 7 个自然日平均</x:v>
      </x:c>
      <x:c r="F9" s="197" t="str">
        <x:v>按 7 个自然日平均</x:v>
      </x:c>
      <x:c r="G9" s="147" t="str">
        <x:v>峰值日期见下方趋势</x:v>
      </x:c>
      <x:c r="H9" s="148" t="str">
        <x:v>峰值日期见下方趋势</x:v>
      </x:c>
      <x:c r="I9" s="149" t="str">
        <x:v>峰值日期见下方趋势</x:v>
      </x:c>
      <x:c r="J9" s="242" t="str">
        <x:v>低点日期见下方趋势</x:v>
      </x:c>
      <x:c r="K9" s="243" t="str">
        <x:v>低点日期见下方趋势</x:v>
      </x:c>
      <x:c r="L9" s="244" t="str">
        <x:v>低点日期见下方趋势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>
      <x:c r="A11" s="42" t="str">
        <x:v>趋势明细</x:v>
      </x:c>
      <x:c r="B11" s="43" t="str">
        <x:v>趋势明细</x:v>
      </x:c>
      <x:c r="C11" s="43" t="str">
        <x:v>趋势明细</x:v>
      </x:c>
      <x:c r="D11" s="43" t="str">
        <x:v>趋势明细</x:v>
      </x:c>
      <x:c r="E11" s="43" t="str">
        <x:v>趋势明细</x:v>
      </x:c>
      <x:c r="F11" s="43" t="str">
        <x:v>趋势明细</x:v>
      </x:c>
      <x:c r="G11" s="43" t="str">
        <x:v>趋势明细</x:v>
      </x:c>
      <x:c r="H11" s="43" t="str">
        <x:v>趋势明细</x:v>
      </x:c>
      <x:c r="I11" s="43" t="str">
        <x:v>趋势明细</x:v>
      </x:c>
      <x:c r="J11" s="43" t="str">
        <x:v>趋势明细</x:v>
      </x:c>
      <x:c r="K11" s="43" t="str">
        <x:v>趋势明细</x:v>
      </x:c>
      <x:c r="L11" s="44" t="str">
        <x:v>趋势明细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53" t="str">
        <x:v>日期</x:v>
      </x:c>
      <x:c r="B14" s="53" t="str">
        <x:v>App 启动用户数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N14" t="str">
        <x:v>日期</x:v>
      </x:c>
      <x:c r="O14" t="str">
        <x:v>App 启动用户数</x:v>
      </x:c>
    </x:row>
    <x:row r="15">
      <x:c r="A15" s="245" t="n">
        <x:v>46260</x:v>
      </x:c>
      <x:c r="B15" s="248" t="n">
        <x:v>503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N15" t="str">
        <x:v>08-26</x:v>
      </x:c>
      <x:c r="O15" t="n">
        <x:f>B15</x:f>
        <x:v>503</x:v>
      </x:c>
    </x:row>
    <x:row r="16">
      <x:c r="A16" s="246" t="n">
        <x:v>46261</x:v>
      </x:c>
      <x:c r="B16" s="249" t="n">
        <x:v>543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N16" t="str">
        <x:v>08-27</x:v>
      </x:c>
      <x:c r="O16" t="n">
        <x:f>B16</x:f>
        <x:v>543</x:v>
      </x:c>
    </x:row>
    <x:row r="17">
      <x:c r="A17" s="246" t="n">
        <x:v>46262</x:v>
      </x:c>
      <x:c r="B17" s="249" t="n">
        <x:v>551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N17" t="str">
        <x:v>08-28</x:v>
      </x:c>
      <x:c r="O17" t="n">
        <x:f>B17</x:f>
        <x:v>551</x:v>
      </x:c>
    </x:row>
    <x:row r="18">
      <x:c r="A18" s="246" t="n">
        <x:v>46263</x:v>
      </x:c>
      <x:c r="B18" s="249" t="n">
        <x:v>477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N18" t="str">
        <x:v>08-29</x:v>
      </x:c>
      <x:c r="O18" t="n">
        <x:f>B18</x:f>
        <x:v>477</x:v>
      </x:c>
    </x:row>
    <x:row r="19">
      <x:c r="A19" s="246" t="n">
        <x:v>46264</x:v>
      </x:c>
      <x:c r="B19" s="249" t="n">
        <x:v>497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N19" t="str">
        <x:v>08-30</x:v>
      </x:c>
      <x:c r="O19" t="n">
        <x:f>B19</x:f>
        <x:v>497</x:v>
      </x:c>
    </x:row>
    <x:row r="20">
      <x:c r="A20" s="246" t="n">
        <x:v>46265</x:v>
      </x:c>
      <x:c r="B20" s="249" t="n">
        <x:v>514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N20" t="str">
        <x:v>08-31</x:v>
      </x:c>
      <x:c r="O20" t="n">
        <x:f>B20</x:f>
        <x:v>514</x:v>
      </x:c>
    </x:row>
    <x:row r="21">
      <x:c r="A21" s="247" t="n">
        <x:v>46266</x:v>
      </x:c>
      <x:c r="B21" s="250" t="n">
        <x:v>500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N21" t="str">
        <x:v>09-01</x:v>
      </x:c>
      <x:c r="O21" t="n">
        <x:f>B21</x:f>
        <x:v>500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42" t="str">
        <x:v>查询条件与来源</x:v>
      </x:c>
      <x:c r="B29" s="43" t="str">
        <x:v>查询条件与来源</x:v>
      </x:c>
      <x:c r="C29" s="43" t="str">
        <x:v>查询条件与来源</x:v>
      </x:c>
      <x:c r="D29" s="43" t="str">
        <x:v>查询条件与来源</x:v>
      </x:c>
      <x:c r="E29" s="43" t="str">
        <x:v>查询条件与来源</x:v>
      </x:c>
      <x:c r="F29" s="43" t="str">
        <x:v>查询条件与来源</x:v>
      </x:c>
      <x:c r="G29" s="43" t="str">
        <x:v>查询条件与来源</x:v>
      </x:c>
      <x:c r="H29" s="43" t="str">
        <x:v>查询条件与来源</x:v>
      </x:c>
      <x:c r="I29" s="43" t="str">
        <x:v>查询条件与来源</x:v>
      </x:c>
      <x:c r="J29" s="43" t="str">
        <x:v>查询条件与来源</x:v>
      </x:c>
      <x:c r="K29" s="43" t="str">
        <x:v>查询条件与来源</x:v>
      </x:c>
      <x:c r="L29" s="44" t="str">
        <x:v>查询条件与来源</x:v>
      </x:c>
    </x:row>
    <x:row r="30">
      <x:c r="A30" s="46" t="str">
        <x:v>来源文件</x:v>
      </x:c>
      <x:c r="B30" s="48" t="str">
        <x:v>App启动的用户数_事件分析_2026-08-26至2026-09-01_SensorsAnalytics.xlsx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46" t="str">
        <x:v>日期范围</x:v>
      </x:c>
      <x:c r="B31" s="48" t="str">
        <x:v>2026-08-26 至 2026-09-01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46" t="str">
        <x:v>筛选/分组</x:v>
      </x:c>
      <x:c r="B32" s="48" t="str">
        <x:v>源文件未提供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</x:sheetData>
  <x:mergeCells>
    <x:mergeCell ref="A1:L2"/>
    <x:mergeCell ref="A3:L3"/>
    <x:mergeCell ref="A5:C5"/>
    <x:mergeCell ref="A6:C8"/>
    <x:mergeCell ref="A9:C9"/>
    <x:mergeCell ref="D5:F5"/>
    <x:mergeCell ref="D6:F8"/>
    <x:mergeCell ref="D9:F9"/>
    <x:mergeCell ref="G5:I5"/>
    <x:mergeCell ref="G6:I8"/>
    <x:mergeCell ref="G9:I9"/>
    <x:mergeCell ref="J5:L5"/>
    <x:mergeCell ref="J6:L8"/>
    <x:mergeCell ref="J9:L9"/>
    <x:mergeCell ref="A11:L11"/>
    <x:mergeCell ref="A29:L29"/>
    <x:mergeCell ref="B30:L30"/>
    <x:mergeCell ref="B31:L31"/>
    <x:mergeCell ref="B32:L32"/>
  </x:mergeCells>
  <x:pageMargins left="0.7" right="0.7" top="0.75" bottom="0.75" header="0.3" footer="0.3"/>
  <x:drawing xmlns:r="http://schemas.openxmlformats.org/officeDocument/2006/relationships" r:id="Rb8689267b9084f5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7" t="str">
        <x:v>C02｜退出房间事件 · SDK 拆解</x:v>
      </x:c>
      <x:c r="B1" s="18" t="str">
        <x:v>C02｜退出房间事件 · SDK 拆解</x:v>
      </x:c>
      <x:c r="C1" s="18" t="str">
        <x:v>C02｜退出房间事件 · SDK 拆解</x:v>
      </x:c>
      <x:c r="D1" s="18" t="str">
        <x:v>C02｜退出房间事件 · SDK 拆解</x:v>
      </x:c>
      <x:c r="E1" s="18" t="str">
        <x:v>C02｜退出房间事件 · SDK 拆解</x:v>
      </x:c>
      <x:c r="F1" s="18" t="str">
        <x:v>C02｜退出房间事件 · SDK 拆解</x:v>
      </x:c>
      <x:c r="G1" s="18" t="str">
        <x:v>C02｜退出房间事件 · SDK 拆解</x:v>
      </x:c>
      <x:c r="H1" s="18" t="str">
        <x:v>C02｜退出房间事件 · SDK 拆解</x:v>
      </x:c>
      <x:c r="I1" s="18" t="str">
        <x:v>C02｜退出房间事件 · SDK 拆解</x:v>
      </x:c>
      <x:c r="J1" s="18" t="str">
        <x:v>C02｜退出房间事件 · SDK 拆解</x:v>
      </x:c>
      <x:c r="K1" s="18" t="str">
        <x:v>C02｜退出房间事件 · SDK 拆解</x:v>
      </x:c>
      <x:c r="L1" s="19" t="str">
        <x:v>C02｜退出房间事件 · SDK 拆解</x:v>
      </x:c>
    </x:row>
    <x:row r="2">
      <x:c r="A2" s="20" t="str">
        <x:v>C02｜退出房间事件 · SDK 拆解</x:v>
      </x:c>
      <x:c r="B2" s="21" t="str">
        <x:v>C02｜退出房间事件 · SDK 拆解</x:v>
      </x:c>
      <x:c r="C2" s="21" t="str">
        <x:v>C02｜退出房间事件 · SDK 拆解</x:v>
      </x:c>
      <x:c r="D2" s="21" t="str">
        <x:v>C02｜退出房间事件 · SDK 拆解</x:v>
      </x:c>
      <x:c r="E2" s="21" t="str">
        <x:v>C02｜退出房间事件 · SDK 拆解</x:v>
      </x:c>
      <x:c r="F2" s="21" t="str">
        <x:v>C02｜退出房间事件 · SDK 拆解</x:v>
      </x:c>
      <x:c r="G2" s="21" t="str">
        <x:v>C02｜退出房间事件 · SDK 拆解</x:v>
      </x:c>
      <x:c r="H2" s="21" t="str">
        <x:v>C02｜退出房间事件 · SDK 拆解</x:v>
      </x:c>
      <x:c r="I2" s="21" t="str">
        <x:v>C02｜退出房间事件 · SDK 拆解</x:v>
      </x:c>
      <x:c r="J2" s="21" t="str">
        <x:v>C02｜退出房间事件 · SDK 拆解</x:v>
      </x:c>
      <x:c r="K2" s="21" t="str">
        <x:v>C02｜退出房间事件 · SDK 拆解</x:v>
      </x:c>
      <x:c r="L2" s="22" t="str">
        <x:v>C02｜退出房间事件 · SDK 拆解</x:v>
      </x:c>
    </x:row>
    <x:row r="3">
      <x:c r="A3" s="31" t="str">
        <x:v>来源类型：事件分析｜统计方式：总次数｜分组维度：SDK 类型</x:v>
      </x:c>
      <x:c r="B3" s="32" t="str">
        <x:v>来源类型：事件分析｜统计方式：总次数｜分组维度：SDK 类型</x:v>
      </x:c>
      <x:c r="C3" s="32" t="str">
        <x:v>来源类型：事件分析｜统计方式：总次数｜分组维度：SDK 类型</x:v>
      </x:c>
      <x:c r="D3" s="32" t="str">
        <x:v>来源类型：事件分析｜统计方式：总次数｜分组维度：SDK 类型</x:v>
      </x:c>
      <x:c r="E3" s="32" t="str">
        <x:v>来源类型：事件分析｜统计方式：总次数｜分组维度：SDK 类型</x:v>
      </x:c>
      <x:c r="F3" s="32" t="str">
        <x:v>来源类型：事件分析｜统计方式：总次数｜分组维度：SDK 类型</x:v>
      </x:c>
      <x:c r="G3" s="32" t="str">
        <x:v>来源类型：事件分析｜统计方式：总次数｜分组维度：SDK 类型</x:v>
      </x:c>
      <x:c r="H3" s="32" t="str">
        <x:v>来源类型：事件分析｜统计方式：总次数｜分组维度：SDK 类型</x:v>
      </x:c>
      <x:c r="I3" s="32" t="str">
        <x:v>来源类型：事件分析｜统计方式：总次数｜分组维度：SDK 类型</x:v>
      </x:c>
      <x:c r="J3" s="32" t="str">
        <x:v>来源类型：事件分析｜统计方式：总次数｜分组维度：SDK 类型</x:v>
      </x:c>
      <x:c r="K3" s="32" t="str">
        <x:v>来源类型：事件分析｜统计方式：总次数｜分组维度：SDK 类型</x:v>
      </x:c>
      <x:c r="L3" s="33" t="str">
        <x:v>来源类型：事件分析｜统计方式：总次数｜分组维度：SDK 类型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110" t="str">
        <x:v>退出房间总次数</x:v>
      </x:c>
      <x:c r="B5" s="111" t="str">
        <x:v>退出房间总次数</x:v>
      </x:c>
      <x:c r="C5" s="112" t="str">
        <x:v>退出房间总次数</x:v>
      </x:c>
      <x:c r="D5" s="158" t="str">
        <x:v>最高 SDK 次数</x:v>
      </x:c>
      <x:c r="E5" s="159" t="str">
        <x:v>最高 SDK 次数</x:v>
      </x:c>
      <x:c r="F5" s="160" t="str">
        <x:v>最高 SDK 次数</x:v>
      </x:c>
      <x:c r="G5" s="110" t="str">
        <x:v>最高 SDK 占比</x:v>
      </x:c>
      <x:c r="H5" s="111" t="str">
        <x:v>最高 SDK 占比</x:v>
      </x:c>
      <x:c r="I5" s="112" t="str">
        <x:v>最高 SDK 占比</x:v>
      </x:c>
      <x:c r="J5" s="205" t="str">
        <x:v>SDK 类型数</x:v>
      </x:c>
      <x:c r="K5" s="206" t="str">
        <x:v>SDK 类型数</x:v>
      </x:c>
      <x:c r="L5" s="207" t="str">
        <x:v>SDK 类型数</x:v>
      </x:c>
    </x:row>
    <x:row r="6">
      <x:c r="A6" s="131" t="n">
        <x:f>SUM(B15:B18)</x:f>
        <x:v>1385</x:v>
      </x:c>
      <x:c r="B6" s="132"/>
      <x:c r="C6" s="133"/>
      <x:c r="D6" s="260" t="n">
        <x:f>MAX(B15:B18)</x:f>
        <x:v>504</x:v>
      </x:c>
      <x:c r="E6" s="261"/>
      <x:c r="F6" s="262"/>
      <x:c r="G6" s="278" t="n">
        <x:f>MAX(B15:B18)/SUM(B15:B18)</x:f>
        <x:v>0.36389891696750903</x:v>
      </x:c>
      <x:c r="H6" s="279"/>
      <x:c r="I6" s="280"/>
      <x:c r="J6" s="296" t="n">
        <x:f>COUNTA(A15:A18)</x:f>
        <x:v>4</x:v>
      </x:c>
      <x:c r="K6" s="297"/>
      <x:c r="L6" s="298"/>
    </x:row>
    <x:row r="7">
      <x:c r="A7" s="134"/>
      <x:c r="B7" s="135"/>
      <x:c r="C7" s="136"/>
      <x:c r="D7" s="263"/>
      <x:c r="E7" s="264"/>
      <x:c r="F7" s="265"/>
      <x:c r="G7" s="281"/>
      <x:c r="H7" s="282"/>
      <x:c r="I7" s="283"/>
      <x:c r="J7" s="299"/>
      <x:c r="K7" s="300"/>
      <x:c r="L7" s="301"/>
    </x:row>
    <x:row r="8">
      <x:c r="A8" s="137"/>
      <x:c r="B8" s="138"/>
      <x:c r="C8" s="139"/>
      <x:c r="D8" s="266"/>
      <x:c r="E8" s="267"/>
      <x:c r="F8" s="268"/>
      <x:c r="G8" s="284"/>
      <x:c r="H8" s="285"/>
      <x:c r="I8" s="286"/>
      <x:c r="J8" s="302"/>
      <x:c r="K8" s="303"/>
      <x:c r="L8" s="304"/>
    </x:row>
    <x:row r="9">
      <x:c r="A9" s="147" t="str">
        <x:v>全部 SDK 合计</x:v>
      </x:c>
      <x:c r="B9" s="148" t="str">
        <x:v>全部 SDK 合计</x:v>
      </x:c>
      <x:c r="C9" s="149" t="str">
        <x:v>全部 SDK 合计</x:v>
      </x:c>
      <x:c r="D9" s="195" t="str">
        <x:v>iOS 为当前最高</x:v>
      </x:c>
      <x:c r="E9" s="196" t="str">
        <x:v>iOS 为当前最高</x:v>
      </x:c>
      <x:c r="F9" s="197" t="str">
        <x:v>iOS 为当前最高</x:v>
      </x:c>
      <x:c r="G9" s="147" t="str">
        <x:v>iOS / 全部 SDK</x:v>
      </x:c>
      <x:c r="H9" s="148" t="str">
        <x:v>iOS / 全部 SDK</x:v>
      </x:c>
      <x:c r="I9" s="149" t="str">
        <x:v>iOS / 全部 SDK</x:v>
      </x:c>
      <x:c r="J9" s="242" t="str">
        <x:v>本次结果中的分组数</x:v>
      </x:c>
      <x:c r="K9" s="243" t="str">
        <x:v>本次结果中的分组数</x:v>
      </x:c>
      <x:c r="L9" s="244" t="str">
        <x:v>本次结果中的分组数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>
      <x:c r="A11" s="42" t="str">
        <x:v>SDK 聚合结果</x:v>
      </x:c>
      <x:c r="B11" s="43" t="str">
        <x:v>SDK 聚合结果</x:v>
      </x:c>
      <x:c r="C11" s="43" t="str">
        <x:v>SDK 聚合结果</x:v>
      </x:c>
      <x:c r="D11" s="43" t="str">
        <x:v>SDK 聚合结果</x:v>
      </x:c>
      <x:c r="E11" s="43" t="str">
        <x:v>SDK 聚合结果</x:v>
      </x:c>
      <x:c r="F11" s="43" t="str">
        <x:v>SDK 聚合结果</x:v>
      </x:c>
      <x:c r="G11" s="43" t="str">
        <x:v>SDK 聚合结果</x:v>
      </x:c>
      <x:c r="H11" s="43" t="str">
        <x:v>SDK 聚合结果</x:v>
      </x:c>
      <x:c r="I11" s="43" t="str">
        <x:v>SDK 聚合结果</x:v>
      </x:c>
      <x:c r="J11" s="43" t="str">
        <x:v>SDK 聚合结果</x:v>
      </x:c>
      <x:c r="K11" s="43" t="str">
        <x:v>SDK 聚合结果</x:v>
      </x:c>
      <x:c r="L11" s="44" t="str">
        <x:v>SDK 聚合结果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53" t="str">
        <x:v>SDK 类型</x:v>
      </x:c>
      <x:c r="B14" s="53" t="str">
        <x:v>总次数</x:v>
      </x:c>
      <x:c r="C14" s="53" t="str">
        <x:v>均值</x:v>
      </x:c>
      <x:c r="D14" s="53" t="str">
        <x:v>最大值</x:v>
      </x:c>
      <x:c r="E14" s="53" t="str">
        <x:v>最小值</x:v>
      </x:c>
      <x:c r="F14" s="2"/>
      <x:c r="G14" s="2"/>
      <x:c r="H14" s="2"/>
      <x:c r="I14" s="2"/>
      <x:c r="J14" s="2"/>
      <x:c r="K14" s="2"/>
      <x:c r="L14" s="2"/>
    </x:row>
    <x:row r="15">
      <x:c r="A15" s="63" t="str">
        <x:v>iOS</x:v>
      </x:c>
      <x:c r="B15" s="305" t="n">
        <x:v>504</x:v>
      </x:c>
      <x:c r="C15" s="305" t="n">
        <x:v>504</x:v>
      </x:c>
      <x:c r="D15" s="305" t="n">
        <x:v>504</x:v>
      </x:c>
      <x:c r="E15" s="248" t="n">
        <x:v>504</x:v>
      </x:c>
      <x:c r="F15" s="2"/>
      <x:c r="G15" s="2"/>
      <x:c r="H15" s="2"/>
      <x:c r="I15" s="2"/>
      <x:c r="J15" s="2"/>
      <x:c r="K15" s="2"/>
      <x:c r="L15" s="2"/>
    </x:row>
    <x:row r="16">
      <x:c r="A16" s="66" t="str">
        <x:v>Android</x:v>
      </x:c>
      <x:c r="B16" s="306" t="n">
        <x:v>492</x:v>
      </x:c>
      <x:c r="C16" s="306" t="n">
        <x:v>492</x:v>
      </x:c>
      <x:c r="D16" s="306" t="n">
        <x:v>492</x:v>
      </x:c>
      <x:c r="E16" s="249" t="n">
        <x:v>492</x:v>
      </x:c>
      <x:c r="F16" s="2"/>
      <x:c r="G16" s="2"/>
      <x:c r="H16" s="2"/>
      <x:c r="I16" s="2"/>
      <x:c r="J16" s="2"/>
      <x:c r="K16" s="2"/>
      <x:c r="L16" s="2"/>
    </x:row>
    <x:row r="17">
      <x:c r="A17" s="66" t="str">
        <x:v>js</x:v>
      </x:c>
      <x:c r="B17" s="306" t="n">
        <x:v>322</x:v>
      </x:c>
      <x:c r="C17" s="306" t="n">
        <x:v>322</x:v>
      </x:c>
      <x:c r="D17" s="306" t="n">
        <x:v>322</x:v>
      </x:c>
      <x:c r="E17" s="249" t="n">
        <x:v>322</x:v>
      </x:c>
      <x:c r="F17" s="2"/>
      <x:c r="G17" s="2"/>
      <x:c r="H17" s="2"/>
      <x:c r="I17" s="2"/>
      <x:c r="J17" s="2"/>
      <x:c r="K17" s="2"/>
      <x:c r="L17" s="2"/>
    </x:row>
    <x:row r="18">
      <x:c r="A18" s="69" t="str">
        <x:v>python</x:v>
      </x:c>
      <x:c r="B18" s="307" t="n">
        <x:v>67</x:v>
      </x:c>
      <x:c r="C18" s="307" t="n">
        <x:v>67</x:v>
      </x:c>
      <x:c r="D18" s="307" t="n">
        <x:v>67</x:v>
      </x:c>
      <x:c r="E18" s="250" t="n">
        <x:v>67</x:v>
      </x:c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42" t="str">
        <x:v>查询条件与来源</x:v>
      </x:c>
      <x:c r="B29" s="43" t="str">
        <x:v>查询条件与来源</x:v>
      </x:c>
      <x:c r="C29" s="43" t="str">
        <x:v>查询条件与来源</x:v>
      </x:c>
      <x:c r="D29" s="43" t="str">
        <x:v>查询条件与来源</x:v>
      </x:c>
      <x:c r="E29" s="43" t="str">
        <x:v>查询条件与来源</x:v>
      </x:c>
      <x:c r="F29" s="43" t="str">
        <x:v>查询条件与来源</x:v>
      </x:c>
      <x:c r="G29" s="43" t="str">
        <x:v>查询条件与来源</x:v>
      </x:c>
      <x:c r="H29" s="43" t="str">
        <x:v>查询条件与来源</x:v>
      </x:c>
      <x:c r="I29" s="43" t="str">
        <x:v>查询条件与来源</x:v>
      </x:c>
      <x:c r="J29" s="43" t="str">
        <x:v>查询条件与来源</x:v>
      </x:c>
      <x:c r="K29" s="43" t="str">
        <x:v>查询条件与来源</x:v>
      </x:c>
      <x:c r="L29" s="44" t="str">
        <x:v>查询条件与来源</x:v>
      </x:c>
    </x:row>
    <x:row r="30">
      <x:c r="A30" s="46" t="str">
        <x:v>来源文件</x:v>
      </x:c>
      <x:c r="B30" s="48" t="str">
        <x:v>退出房间的总次数_事件分析_2026-09-02至2026-09-02_SensorsAnalytics (1).xlsx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46" t="str">
        <x:v>日期范围</x:v>
      </x:c>
      <x:c r="B31" s="48" t="str">
        <x:v>2026-09-02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46" t="str">
        <x:v>分组维度</x:v>
      </x:c>
      <x:c r="B32" s="48" t="str">
        <x:v>SDK 类型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</x:sheetData>
  <x:mergeCells>
    <x:mergeCell ref="A1:L2"/>
    <x:mergeCell ref="A3:L3"/>
    <x:mergeCell ref="A5:C5"/>
    <x:mergeCell ref="A6:C8"/>
    <x:mergeCell ref="A9:C9"/>
    <x:mergeCell ref="D5:F5"/>
    <x:mergeCell ref="D6:F8"/>
    <x:mergeCell ref="D9:F9"/>
    <x:mergeCell ref="G5:I5"/>
    <x:mergeCell ref="G6:I8"/>
    <x:mergeCell ref="G9:I9"/>
    <x:mergeCell ref="J5:L5"/>
    <x:mergeCell ref="J6:L8"/>
    <x:mergeCell ref="J9:L9"/>
    <x:mergeCell ref="A11:L11"/>
    <x:mergeCell ref="A29:L29"/>
    <x:mergeCell ref="B30:L30"/>
    <x:mergeCell ref="B31:L31"/>
    <x:mergeCell ref="B32:L32"/>
  </x:mergeCells>
  <x:pageMargins left="0.7" right="0.7" top="0.75" bottom="0.75" header="0.3" footer="0.3"/>
  <x:drawing xmlns:r="http://schemas.openxmlformats.org/officeDocument/2006/relationships" r:id="R455d7b6ccd5747b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21" hidden="0" customWidth="1"/>
    <x:col min="5" max="5" width="22" hidden="0" customWidth="1"/>
    <x:col min="6" max="6" width="22" hidden="0" customWidth="1"/>
    <x:col min="7" max="7" width="17" hidden="0" customWidth="1"/>
    <x:col min="8" max="8" width="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7" t="str">
        <x:v>C03｜匹配页面浏览 → 退出房间</x:v>
      </x:c>
      <x:c r="B1" s="18" t="str">
        <x:v>C03｜匹配页面浏览 → 退出房间</x:v>
      </x:c>
      <x:c r="C1" s="18" t="str">
        <x:v>C03｜匹配页面浏览 → 退出房间</x:v>
      </x:c>
      <x:c r="D1" s="18" t="str">
        <x:v>C03｜匹配页面浏览 → 退出房间</x:v>
      </x:c>
      <x:c r="E1" s="18" t="str">
        <x:v>C03｜匹配页面浏览 → 退出房间</x:v>
      </x:c>
      <x:c r="F1" s="18" t="str">
        <x:v>C03｜匹配页面浏览 → 退出房间</x:v>
      </x:c>
      <x:c r="G1" s="18" t="str">
        <x:v>C03｜匹配页面浏览 → 退出房间</x:v>
      </x:c>
      <x:c r="H1" s="18" t="str">
        <x:v>C03｜匹配页面浏览 → 退出房间</x:v>
      </x:c>
      <x:c r="I1" s="18" t="str">
        <x:v>C03｜匹配页面浏览 → 退出房间</x:v>
      </x:c>
      <x:c r="J1" s="18" t="str">
        <x:v>C03｜匹配页面浏览 → 退出房间</x:v>
      </x:c>
      <x:c r="K1" s="18" t="str">
        <x:v>C03｜匹配页面浏览 → 退出房间</x:v>
      </x:c>
      <x:c r="L1" s="18" t="str">
        <x:v>C03｜匹配页面浏览 → 退出房间</x:v>
      </x:c>
      <x:c r="M1" s="18" t="str">
        <x:v>C03｜匹配页面浏览 → 退出房间</x:v>
      </x:c>
      <x:c r="N1" s="18" t="str">
        <x:v>C03｜匹配页面浏览 → 退出房间</x:v>
      </x:c>
      <x:c r="O1" s="18" t="str">
        <x:v>C03｜匹配页面浏览 → 退出房间</x:v>
      </x:c>
      <x:c r="P1" s="19" t="str">
        <x:v>C03｜匹配页面浏览 → 退出房间</x:v>
      </x:c>
    </x:row>
    <x:row r="2">
      <x:c r="A2" s="20" t="str">
        <x:v>C03｜匹配页面浏览 → 退出房间</x:v>
      </x:c>
      <x:c r="B2" s="21" t="str">
        <x:v>C03｜匹配页面浏览 → 退出房间</x:v>
      </x:c>
      <x:c r="C2" s="21" t="str">
        <x:v>C03｜匹配页面浏览 → 退出房间</x:v>
      </x:c>
      <x:c r="D2" s="21" t="str">
        <x:v>C03｜匹配页面浏览 → 退出房间</x:v>
      </x:c>
      <x:c r="E2" s="21" t="str">
        <x:v>C03｜匹配页面浏览 → 退出房间</x:v>
      </x:c>
      <x:c r="F2" s="21" t="str">
        <x:v>C03｜匹配页面浏览 → 退出房间</x:v>
      </x:c>
      <x:c r="G2" s="21" t="str">
        <x:v>C03｜匹配页面浏览 → 退出房间</x:v>
      </x:c>
      <x:c r="H2" s="21" t="str">
        <x:v>C03｜匹配页面浏览 → 退出房间</x:v>
      </x:c>
      <x:c r="I2" s="21" t="str">
        <x:v>C03｜匹配页面浏览 → 退出房间</x:v>
      </x:c>
      <x:c r="J2" s="21" t="str">
        <x:v>C03｜匹配页面浏览 → 退出房间</x:v>
      </x:c>
      <x:c r="K2" s="21" t="str">
        <x:v>C03｜匹配页面浏览 → 退出房间</x:v>
      </x:c>
      <x:c r="L2" s="21" t="str">
        <x:v>C03｜匹配页面浏览 → 退出房间</x:v>
      </x:c>
      <x:c r="M2" s="21" t="str">
        <x:v>C03｜匹配页面浏览 → 退出房间</x:v>
      </x:c>
      <x:c r="N2" s="21" t="str">
        <x:v>C03｜匹配页面浏览 → 退出房间</x:v>
      </x:c>
      <x:c r="O2" s="21" t="str">
        <x:v>C03｜匹配页面浏览 → 退出房间</x:v>
      </x:c>
      <x:c r="P2" s="22" t="str">
        <x:v>C03｜匹配页面浏览 → 退出房间</x:v>
      </x:c>
    </x:row>
    <x:row r="3">
      <x:c r="A3" s="31" t="str">
        <x:v>来源类型：漏斗分析｜统计主体：用户｜转化窗口：源文件未提供</x:v>
      </x:c>
      <x:c r="B3" s="32" t="str">
        <x:v>来源类型：漏斗分析｜统计主体：用户｜转化窗口：源文件未提供</x:v>
      </x:c>
      <x:c r="C3" s="32" t="str">
        <x:v>来源类型：漏斗分析｜统计主体：用户｜转化窗口：源文件未提供</x:v>
      </x:c>
      <x:c r="D3" s="32" t="str">
        <x:v>来源类型：漏斗分析｜统计主体：用户｜转化窗口：源文件未提供</x:v>
      </x:c>
      <x:c r="E3" s="32" t="str">
        <x:v>来源类型：漏斗分析｜统计主体：用户｜转化窗口：源文件未提供</x:v>
      </x:c>
      <x:c r="F3" s="32" t="str">
        <x:v>来源类型：漏斗分析｜统计主体：用户｜转化窗口：源文件未提供</x:v>
      </x:c>
      <x:c r="G3" s="32" t="str">
        <x:v>来源类型：漏斗分析｜统计主体：用户｜转化窗口：源文件未提供</x:v>
      </x:c>
      <x:c r="H3" s="32" t="str">
        <x:v>来源类型：漏斗分析｜统计主体：用户｜转化窗口：源文件未提供</x:v>
      </x:c>
      <x:c r="I3" s="32" t="str">
        <x:v>来源类型：漏斗分析｜统计主体：用户｜转化窗口：源文件未提供</x:v>
      </x:c>
      <x:c r="J3" s="32" t="str">
        <x:v>来源类型：漏斗分析｜统计主体：用户｜转化窗口：源文件未提供</x:v>
      </x:c>
      <x:c r="K3" s="32" t="str">
        <x:v>来源类型：漏斗分析｜统计主体：用户｜转化窗口：源文件未提供</x:v>
      </x:c>
      <x:c r="L3" s="32" t="str">
        <x:v>来源类型：漏斗分析｜统计主体：用户｜转化窗口：源文件未提供</x:v>
      </x:c>
      <x:c r="M3" s="32" t="str">
        <x:v>来源类型：漏斗分析｜统计主体：用户｜转化窗口：源文件未提供</x:v>
      </x:c>
      <x:c r="N3" s="32" t="str">
        <x:v>来源类型：漏斗分析｜统计主体：用户｜转化窗口：源文件未提供</x:v>
      </x:c>
      <x:c r="O3" s="32" t="str">
        <x:v>来源类型：漏斗分析｜统计主体：用户｜转化窗口：源文件未提供</x:v>
      </x:c>
      <x:c r="P3" s="33" t="str">
        <x:v>来源类型：漏斗分析｜统计主体：用户｜转化窗口：源文件未提供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110" t="str">
        <x:v>起始用户数</x:v>
      </x:c>
      <x:c r="B5" s="111" t="str">
        <x:v>起始用户数</x:v>
      </x:c>
      <x:c r="C5" s="111" t="str">
        <x:v>起始用户数</x:v>
      </x:c>
      <x:c r="D5" s="112" t="str">
        <x:v>起始用户数</x:v>
      </x:c>
      <x:c r="E5" s="158" t="str">
        <x:v>转化用户数</x:v>
      </x:c>
      <x:c r="F5" s="159" t="str">
        <x:v>转化用户数</x:v>
      </x:c>
      <x:c r="G5" s="159" t="str">
        <x:v>转化用户数</x:v>
      </x:c>
      <x:c r="H5" s="160" t="str">
        <x:v>转化用户数</x:v>
      </x:c>
      <x:c r="I5" s="110" t="str">
        <x:v>总转化率</x:v>
      </x:c>
      <x:c r="J5" s="111" t="str">
        <x:v>总转化率</x:v>
      </x:c>
      <x:c r="K5" s="111" t="str">
        <x:v>总转化率</x:v>
      </x:c>
      <x:c r="L5" s="112" t="str">
        <x:v>总转化率</x:v>
      </x:c>
      <x:c r="M5" s="205" t="str">
        <x:v>流失用户数</x:v>
      </x:c>
      <x:c r="N5" s="206" t="str">
        <x:v>流失用户数</x:v>
      </x:c>
      <x:c r="O5" s="206" t="str">
        <x:v>流失用户数</x:v>
      </x:c>
      <x:c r="P5" s="207" t="str">
        <x:v>流失用户数</x:v>
      </x:c>
    </x:row>
    <x:row r="6">
      <x:c r="A6" s="131" t="n">
        <x:f>B15</x:f>
        <x:v>2995</x:v>
      </x:c>
      <x:c r="B6" s="132"/>
      <x:c r="C6" s="132"/>
      <x:c r="D6" s="133"/>
      <x:c r="E6" s="260" t="n">
        <x:f>B16</x:f>
        <x:v>942</x:v>
      </x:c>
      <x:c r="F6" s="261"/>
      <x:c r="G6" s="261"/>
      <x:c r="H6" s="262"/>
      <x:c r="I6" s="278" t="n">
        <x:f>D16</x:f>
        <x:v>0.3145</x:v>
      </x:c>
      <x:c r="J6" s="279"/>
      <x:c r="K6" s="279"/>
      <x:c r="L6" s="280"/>
      <x:c r="M6" s="226" t="n">
        <x:f>E16</x:f>
        <x:v>2053</x:v>
      </x:c>
      <x:c r="N6" s="227"/>
      <x:c r="O6" s="227"/>
      <x:c r="P6" s="228"/>
    </x:row>
    <x:row r="7">
      <x:c r="A7" s="134"/>
      <x:c r="B7" s="135"/>
      <x:c r="C7" s="135"/>
      <x:c r="D7" s="136"/>
      <x:c r="E7" s="263"/>
      <x:c r="F7" s="264"/>
      <x:c r="G7" s="264"/>
      <x:c r="H7" s="265"/>
      <x:c r="I7" s="281"/>
      <x:c r="J7" s="282"/>
      <x:c r="K7" s="282"/>
      <x:c r="L7" s="283"/>
      <x:c r="M7" s="229"/>
      <x:c r="N7" s="230"/>
      <x:c r="O7" s="230"/>
      <x:c r="P7" s="231"/>
    </x:row>
    <x:row r="8">
      <x:c r="A8" s="137"/>
      <x:c r="B8" s="138"/>
      <x:c r="C8" s="138"/>
      <x:c r="D8" s="139"/>
      <x:c r="E8" s="266"/>
      <x:c r="F8" s="267"/>
      <x:c r="G8" s="267"/>
      <x:c r="H8" s="268"/>
      <x:c r="I8" s="284"/>
      <x:c r="J8" s="285"/>
      <x:c r="K8" s="285"/>
      <x:c r="L8" s="286"/>
      <x:c r="M8" s="232"/>
      <x:c r="N8" s="233"/>
      <x:c r="O8" s="233"/>
      <x:c r="P8" s="234"/>
    </x:row>
    <x:row r="9">
      <x:c r="A9" s="147" t="str">
        <x:v>第 1 步：匹配页面浏览</x:v>
      </x:c>
      <x:c r="B9" s="148" t="str">
        <x:v>第 1 步：匹配页面浏览</x:v>
      </x:c>
      <x:c r="C9" s="148" t="str">
        <x:v>第 1 步：匹配页面浏览</x:v>
      </x:c>
      <x:c r="D9" s="149" t="str">
        <x:v>第 1 步：匹配页面浏览</x:v>
      </x:c>
      <x:c r="E9" s="195" t="str">
        <x:v>第 2 步：退出房间</x:v>
      </x:c>
      <x:c r="F9" s="196" t="str">
        <x:v>第 2 步：退出房间</x:v>
      </x:c>
      <x:c r="G9" s="196" t="str">
        <x:v>第 2 步：退出房间</x:v>
      </x:c>
      <x:c r="H9" s="197" t="str">
        <x:v>第 2 步：退出房间</x:v>
      </x:c>
      <x:c r="I9" s="147" t="str">
        <x:v>第 2 步 / 第 1 步</x:v>
      </x:c>
      <x:c r="J9" s="148" t="str">
        <x:v>第 2 步 / 第 1 步</x:v>
      </x:c>
      <x:c r="K9" s="148" t="str">
        <x:v>第 2 步 / 第 1 步</x:v>
      </x:c>
      <x:c r="L9" s="149" t="str">
        <x:v>第 2 步 / 第 1 步</x:v>
      </x:c>
      <x:c r="M9" s="242" t="str">
        <x:v>起始用户 - 转化用户</x:v>
      </x:c>
      <x:c r="N9" s="243" t="str">
        <x:v>起始用户 - 转化用户</x:v>
      </x:c>
      <x:c r="O9" s="243" t="str">
        <x:v>起始用户 - 转化用户</x:v>
      </x:c>
      <x:c r="P9" s="244" t="str">
        <x:v>起始用户 - 转化用户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42" t="str">
        <x:v>漏斗步骤结果</x:v>
      </x:c>
      <x:c r="B11" s="43" t="str">
        <x:v>漏斗步骤结果</x:v>
      </x:c>
      <x:c r="C11" s="43" t="str">
        <x:v>漏斗步骤结果</x:v>
      </x:c>
      <x:c r="D11" s="43" t="str">
        <x:v>漏斗步骤结果</x:v>
      </x:c>
      <x:c r="E11" s="43" t="str">
        <x:v>漏斗步骤结果</x:v>
      </x:c>
      <x:c r="F11" s="43" t="str">
        <x:v>漏斗步骤结果</x:v>
      </x:c>
      <x:c r="G11" s="43" t="str">
        <x:v>漏斗步骤结果</x:v>
      </x:c>
      <x:c r="H11" s="43" t="str">
        <x:v>漏斗步骤结果</x:v>
      </x:c>
      <x:c r="I11" s="43" t="str">
        <x:v>漏斗步骤结果</x:v>
      </x:c>
      <x:c r="J11" s="43" t="str">
        <x:v>漏斗步骤结果</x:v>
      </x:c>
      <x:c r="K11" s="43" t="str">
        <x:v>漏斗步骤结果</x:v>
      </x:c>
      <x:c r="L11" s="43" t="str">
        <x:v>漏斗步骤结果</x:v>
      </x:c>
      <x:c r="M11" s="43" t="str">
        <x:v>漏斗步骤结果</x:v>
      </x:c>
      <x:c r="N11" s="43" t="str">
        <x:v>漏斗步骤结果</x:v>
      </x:c>
      <x:c r="O11" s="43" t="str">
        <x:v>漏斗步骤结果</x:v>
      </x:c>
      <x:c r="P11" s="44" t="str">
        <x:v>漏斗步骤结果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53" t="str">
        <x:v>步骤</x:v>
      </x:c>
      <x:c r="B14" s="53" t="str">
        <x:v>用户数</x:v>
      </x:c>
      <x:c r="C14" s="53" t="str">
        <x:v>步骤转化率</x:v>
      </x:c>
      <x:c r="D14" s="53" t="str">
        <x:v>累计转化率</x:v>
      </x:c>
      <x:c r="E14" s="53" t="str">
        <x:v>较上一步流失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63" t="str">
        <x:v>1. 匹配页面浏览</x:v>
      </x:c>
      <x:c r="B15" s="305" t="n">
        <x:v>2995</x:v>
      </x:c>
      <x:c r="C15" s="308" t="n">
        <x:v>1</x:v>
      </x:c>
      <x:c r="D15" s="308" t="n">
        <x:v>1</x:v>
      </x:c>
      <x:c r="E15" s="248" t="n">
        <x:v>0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69" t="str">
        <x:v>2. 退出房间</x:v>
      </x:c>
      <x:c r="B16" s="307" t="n">
        <x:v>942</x:v>
      </x:c>
      <x:c r="C16" s="309" t="n">
        <x:v>0.3145</x:v>
      </x:c>
      <x:c r="D16" s="309" t="n">
        <x:v>0.3145</x:v>
      </x:c>
      <x:c r="E16" s="250" t="n">
        <x:f>B15-B16</x:f>
        <x:v>2053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42" t="str">
        <x:v>按日趋势明细</x:v>
      </x:c>
      <x:c r="B19" s="43" t="str">
        <x:v>按日趋势明细</x:v>
      </x:c>
      <x:c r="C19" s="43" t="str">
        <x:v>按日趋势明细</x:v>
      </x:c>
      <x:c r="D19" s="43" t="str">
        <x:v>按日趋势明细</x:v>
      </x:c>
      <x:c r="E19" s="43" t="str">
        <x:v>按日趋势明细</x:v>
      </x:c>
      <x:c r="F19" s="43" t="str">
        <x:v>按日趋势明细</x:v>
      </x:c>
      <x:c r="G19" s="44" t="str">
        <x:v>按日趋势明细</x:v>
      </x:c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53" t="str">
        <x:v>日期</x:v>
      </x:c>
      <x:c r="B20" s="53" t="str">
        <x:v>起始用户数</x:v>
      </x:c>
      <x:c r="C20" s="53" t="str">
        <x:v>转化用户数</x:v>
      </x:c>
      <x:c r="D20" s="53" t="str">
        <x:v>总转化率</x:v>
      </x:c>
      <x:c r="E20" s="53" t="str">
        <x:v>流失用户数</x:v>
      </x:c>
      <x:c r="F20" s="53" t="str">
        <x:v>流失率</x:v>
      </x:c>
      <x:c r="G20" s="53" t="str">
        <x:v>数据状态</x:v>
      </x:c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45" t="n">
        <x:v>46265</x:v>
      </x:c>
      <x:c r="B21" s="305" t="n">
        <x:v>1015</x:v>
      </x:c>
      <x:c r="C21" s="305" t="n">
        <x:v>333</x:v>
      </x:c>
      <x:c r="D21" s="308" t="n">
        <x:v>0.3281</x:v>
      </x:c>
      <x:c r="E21" s="305" t="n">
        <x:f>B21-C21</x:f>
        <x:v>682</x:v>
      </x:c>
      <x:c r="F21" s="308" t="n">
        <x:f>IF(B21=0,0,E21/B21)</x:f>
        <x:v>0.6719211822660098</x:v>
      </x:c>
      <x:c r="G21" s="65" t="str">
        <x:v>完整</x:v>
      </x:c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46" t="n">
        <x:v>46266</x:v>
      </x:c>
      <x:c r="B22" s="306" t="n">
        <x:v>992</x:v>
      </x:c>
      <x:c r="C22" s="306" t="n">
        <x:v>302</x:v>
      </x:c>
      <x:c r="D22" s="310" t="n">
        <x:v>0.3044</x:v>
      </x:c>
      <x:c r="E22" s="306" t="n">
        <x:f>B22-C22</x:f>
        <x:v>690</x:v>
      </x:c>
      <x:c r="F22" s="310" t="n">
        <x:f>IF(B22=0,0,E22/B22)</x:f>
        <x:v>0.6955645161290323</x:v>
      </x:c>
      <x:c r="G22" s="68" t="str">
        <x:v>完整</x:v>
      </x:c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46" t="n">
        <x:v>46267</x:v>
      </x:c>
      <x:c r="B23" s="306" t="n">
        <x:v>988</x:v>
      </x:c>
      <x:c r="C23" s="306" t="n">
        <x:v>307</x:v>
      </x:c>
      <x:c r="D23" s="310" t="n">
        <x:v>0.3107</x:v>
      </x:c>
      <x:c r="E23" s="306" t="n">
        <x:f>B23-C23</x:f>
        <x:v>681</x:v>
      </x:c>
      <x:c r="F23" s="310" t="n">
        <x:f>IF(B23=0,0,E23/B23)</x:f>
        <x:v>0.6892712550607287</x:v>
      </x:c>
      <x:c r="G23" s="68" t="str">
        <x:v>完整</x:v>
      </x:c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69" t="str">
        <x:v>合计</x:v>
      </x:c>
      <x:c r="B24" s="307" t="n">
        <x:v>2995</x:v>
      </x:c>
      <x:c r="C24" s="307" t="n">
        <x:v>942</x:v>
      </x:c>
      <x:c r="D24" s="309" t="n">
        <x:v>0.3145</x:v>
      </x:c>
      <x:c r="E24" s="307" t="n">
        <x:f>B24-C24</x:f>
        <x:v>2053</x:v>
      </x:c>
      <x:c r="F24" s="309" t="n">
        <x:f>IF(B24=0,0,E24/B24)</x:f>
        <x:v>0.6854757929883138</x:v>
      </x:c>
      <x:c r="G24" s="71" t="str">
        <x:v>完整</x:v>
      </x:c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42" t="str">
        <x:v>查询条件与来源</x:v>
      </x:c>
      <x:c r="B29" s="43" t="str">
        <x:v>查询条件与来源</x:v>
      </x:c>
      <x:c r="C29" s="43" t="str">
        <x:v>查询条件与来源</x:v>
      </x:c>
      <x:c r="D29" s="43" t="str">
        <x:v>查询条件与来源</x:v>
      </x:c>
      <x:c r="E29" s="43" t="str">
        <x:v>查询条件与来源</x:v>
      </x:c>
      <x:c r="F29" s="43" t="str">
        <x:v>查询条件与来源</x:v>
      </x:c>
      <x:c r="G29" s="43" t="str">
        <x:v>查询条件与来源</x:v>
      </x:c>
      <x:c r="H29" s="43" t="str">
        <x:v>查询条件与来源</x:v>
      </x:c>
      <x:c r="I29" s="43" t="str">
        <x:v>查询条件与来源</x:v>
      </x:c>
      <x:c r="J29" s="43" t="str">
        <x:v>查询条件与来源</x:v>
      </x:c>
      <x:c r="K29" s="43" t="str">
        <x:v>查询条件与来源</x:v>
      </x:c>
      <x:c r="L29" s="43" t="str">
        <x:v>查询条件与来源</x:v>
      </x:c>
      <x:c r="M29" s="43" t="str">
        <x:v>查询条件与来源</x:v>
      </x:c>
      <x:c r="N29" s="43" t="str">
        <x:v>查询条件与来源</x:v>
      </x:c>
      <x:c r="O29" s="43" t="str">
        <x:v>查询条件与来源</x:v>
      </x:c>
      <x:c r="P29" s="44" t="str">
        <x:v>查询条件与来源</x:v>
      </x:c>
    </x:row>
    <x:row r="30">
      <x:c r="A30" s="46" t="str">
        <x:v>来源文件</x:v>
      </x:c>
      <x:c r="B30" s="48" t="str">
        <x:v>_漏斗分析_2026-08-31 至 2026-09-02_SensorsAnalytics.xlsx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46" t="str">
        <x:v>日期范围</x:v>
      </x:c>
      <x:c r="B31" s="48" t="str">
        <x:v>2026-08-31 至 2026-09-02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46" t="str">
        <x:v>步骤</x:v>
      </x:c>
      <x:c r="B32" s="48" t="str">
        <x:v>匹配页面浏览 → 退出房间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46" t="str">
        <x:v>转化窗口/步骤条件</x:v>
      </x:c>
      <x:c r="B33" s="48" t="str">
        <x:v>源文件未提供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94" t="str">
        <x:v>平均/中位转化耗时、步骤条件、转化用户清单和流失用户清单均不在源文件中，本示例不生成。正式能力必须由真实接口与权限支持。</x:v>
      </x:c>
      <x:c r="B35" s="95" t="str">
        <x:v>平均/中位转化耗时、步骤条件、转化用户清单和流失用户清单均不在源文件中，本示例不生成。正式能力必须由真实接口与权限支持。</x:v>
      </x:c>
      <x:c r="C35" s="95" t="str">
        <x:v>平均/中位转化耗时、步骤条件、转化用户清单和流失用户清单均不在源文件中，本示例不生成。正式能力必须由真实接口与权限支持。</x:v>
      </x:c>
      <x:c r="D35" s="95" t="str">
        <x:v>平均/中位转化耗时、步骤条件、转化用户清单和流失用户清单均不在源文件中，本示例不生成。正式能力必须由真实接口与权限支持。</x:v>
      </x:c>
      <x:c r="E35" s="95" t="str">
        <x:v>平均/中位转化耗时、步骤条件、转化用户清单和流失用户清单均不在源文件中，本示例不生成。正式能力必须由真实接口与权限支持。</x:v>
      </x:c>
      <x:c r="F35" s="95" t="str">
        <x:v>平均/中位转化耗时、步骤条件、转化用户清单和流失用户清单均不在源文件中，本示例不生成。正式能力必须由真实接口与权限支持。</x:v>
      </x:c>
      <x:c r="G35" s="95" t="str">
        <x:v>平均/中位转化耗时、步骤条件、转化用户清单和流失用户清单均不在源文件中，本示例不生成。正式能力必须由真实接口与权限支持。</x:v>
      </x:c>
      <x:c r="H35" s="95" t="str">
        <x:v>平均/中位转化耗时、步骤条件、转化用户清单和流失用户清单均不在源文件中，本示例不生成。正式能力必须由真实接口与权限支持。</x:v>
      </x:c>
      <x:c r="I35" s="95" t="str">
        <x:v>平均/中位转化耗时、步骤条件、转化用户清单和流失用户清单均不在源文件中，本示例不生成。正式能力必须由真实接口与权限支持。</x:v>
      </x:c>
      <x:c r="J35" s="95" t="str">
        <x:v>平均/中位转化耗时、步骤条件、转化用户清单和流失用户清单均不在源文件中，本示例不生成。正式能力必须由真实接口与权限支持。</x:v>
      </x:c>
      <x:c r="K35" s="95" t="str">
        <x:v>平均/中位转化耗时、步骤条件、转化用户清单和流失用户清单均不在源文件中，本示例不生成。正式能力必须由真实接口与权限支持。</x:v>
      </x:c>
      <x:c r="L35" s="95" t="str">
        <x:v>平均/中位转化耗时、步骤条件、转化用户清单和流失用户清单均不在源文件中，本示例不生成。正式能力必须由真实接口与权限支持。</x:v>
      </x:c>
      <x:c r="M35" s="95" t="str">
        <x:v>平均/中位转化耗时、步骤条件、转化用户清单和流失用户清单均不在源文件中，本示例不生成。正式能力必须由真实接口与权限支持。</x:v>
      </x:c>
      <x:c r="N35" s="95" t="str">
        <x:v>平均/中位转化耗时、步骤条件、转化用户清单和流失用户清单均不在源文件中，本示例不生成。正式能力必须由真实接口与权限支持。</x:v>
      </x:c>
      <x:c r="O35" s="95" t="str">
        <x:v>平均/中位转化耗时、步骤条件、转化用户清单和流失用户清单均不在源文件中，本示例不生成。正式能力必须由真实接口与权限支持。</x:v>
      </x:c>
      <x:c r="P35" s="96" t="str">
        <x:v>平均/中位转化耗时、步骤条件、转化用户清单和流失用户清单均不在源文件中，本示例不生成。正式能力必须由真实接口与权限支持。</x:v>
      </x:c>
    </x:row>
    <x:row r="36">
      <x:c r="A36" s="97" t="str">
        <x:v>平均/中位转化耗时、步骤条件、转化用户清单和流失用户清单均不在源文件中，本示例不生成。正式能力必须由真实接口与权限支持。</x:v>
      </x:c>
      <x:c r="B36" s="98" t="str">
        <x:v>平均/中位转化耗时、步骤条件、转化用户清单和流失用户清单均不在源文件中，本示例不生成。正式能力必须由真实接口与权限支持。</x:v>
      </x:c>
      <x:c r="C36" s="98" t="str">
        <x:v>平均/中位转化耗时、步骤条件、转化用户清单和流失用户清单均不在源文件中，本示例不生成。正式能力必须由真实接口与权限支持。</x:v>
      </x:c>
      <x:c r="D36" s="98" t="str">
        <x:v>平均/中位转化耗时、步骤条件、转化用户清单和流失用户清单均不在源文件中，本示例不生成。正式能力必须由真实接口与权限支持。</x:v>
      </x:c>
      <x:c r="E36" s="98" t="str">
        <x:v>平均/中位转化耗时、步骤条件、转化用户清单和流失用户清单均不在源文件中，本示例不生成。正式能力必须由真实接口与权限支持。</x:v>
      </x:c>
      <x:c r="F36" s="98" t="str">
        <x:v>平均/中位转化耗时、步骤条件、转化用户清单和流失用户清单均不在源文件中，本示例不生成。正式能力必须由真实接口与权限支持。</x:v>
      </x:c>
      <x:c r="G36" s="98" t="str">
        <x:v>平均/中位转化耗时、步骤条件、转化用户清单和流失用户清单均不在源文件中，本示例不生成。正式能力必须由真实接口与权限支持。</x:v>
      </x:c>
      <x:c r="H36" s="98" t="str">
        <x:v>平均/中位转化耗时、步骤条件、转化用户清单和流失用户清单均不在源文件中，本示例不生成。正式能力必须由真实接口与权限支持。</x:v>
      </x:c>
      <x:c r="I36" s="98" t="str">
        <x:v>平均/中位转化耗时、步骤条件、转化用户清单和流失用户清单均不在源文件中，本示例不生成。正式能力必须由真实接口与权限支持。</x:v>
      </x:c>
      <x:c r="J36" s="98" t="str">
        <x:v>平均/中位转化耗时、步骤条件、转化用户清单和流失用户清单均不在源文件中，本示例不生成。正式能力必须由真实接口与权限支持。</x:v>
      </x:c>
      <x:c r="K36" s="98" t="str">
        <x:v>平均/中位转化耗时、步骤条件、转化用户清单和流失用户清单均不在源文件中，本示例不生成。正式能力必须由真实接口与权限支持。</x:v>
      </x:c>
      <x:c r="L36" s="98" t="str">
        <x:v>平均/中位转化耗时、步骤条件、转化用户清单和流失用户清单均不在源文件中，本示例不生成。正式能力必须由真实接口与权限支持。</x:v>
      </x:c>
      <x:c r="M36" s="98" t="str">
        <x:v>平均/中位转化耗时、步骤条件、转化用户清单和流失用户清单均不在源文件中，本示例不生成。正式能力必须由真实接口与权限支持。</x:v>
      </x:c>
      <x:c r="N36" s="98" t="str">
        <x:v>平均/中位转化耗时、步骤条件、转化用户清单和流失用户清单均不在源文件中，本示例不生成。正式能力必须由真实接口与权限支持。</x:v>
      </x:c>
      <x:c r="O36" s="98" t="str">
        <x:v>平均/中位转化耗时、步骤条件、转化用户清单和流失用户清单均不在源文件中，本示例不生成。正式能力必须由真实接口与权限支持。</x:v>
      </x:c>
      <x:c r="P36" s="99" t="str">
        <x:v>平均/中位转化耗时、步骤条件、转化用户清单和流失用户清单均不在源文件中，本示例不生成。正式能力必须由真实接口与权限支持。</x:v>
      </x:c>
    </x:row>
    <x:row r="37">
      <x:c r="A37" s="100" t="str">
        <x:v>平均/中位转化耗时、步骤条件、转化用户清单和流失用户清单均不在源文件中，本示例不生成。正式能力必须由真实接口与权限支持。</x:v>
      </x:c>
      <x:c r="B37" s="101" t="str">
        <x:v>平均/中位转化耗时、步骤条件、转化用户清单和流失用户清单均不在源文件中，本示例不生成。正式能力必须由真实接口与权限支持。</x:v>
      </x:c>
      <x:c r="C37" s="101" t="str">
        <x:v>平均/中位转化耗时、步骤条件、转化用户清单和流失用户清单均不在源文件中，本示例不生成。正式能力必须由真实接口与权限支持。</x:v>
      </x:c>
      <x:c r="D37" s="101" t="str">
        <x:v>平均/中位转化耗时、步骤条件、转化用户清单和流失用户清单均不在源文件中，本示例不生成。正式能力必须由真实接口与权限支持。</x:v>
      </x:c>
      <x:c r="E37" s="101" t="str">
        <x:v>平均/中位转化耗时、步骤条件、转化用户清单和流失用户清单均不在源文件中，本示例不生成。正式能力必须由真实接口与权限支持。</x:v>
      </x:c>
      <x:c r="F37" s="101" t="str">
        <x:v>平均/中位转化耗时、步骤条件、转化用户清单和流失用户清单均不在源文件中，本示例不生成。正式能力必须由真实接口与权限支持。</x:v>
      </x:c>
      <x:c r="G37" s="101" t="str">
        <x:v>平均/中位转化耗时、步骤条件、转化用户清单和流失用户清单均不在源文件中，本示例不生成。正式能力必须由真实接口与权限支持。</x:v>
      </x:c>
      <x:c r="H37" s="101" t="str">
        <x:v>平均/中位转化耗时、步骤条件、转化用户清单和流失用户清单均不在源文件中，本示例不生成。正式能力必须由真实接口与权限支持。</x:v>
      </x:c>
      <x:c r="I37" s="101" t="str">
        <x:v>平均/中位转化耗时、步骤条件、转化用户清单和流失用户清单均不在源文件中，本示例不生成。正式能力必须由真实接口与权限支持。</x:v>
      </x:c>
      <x:c r="J37" s="101" t="str">
        <x:v>平均/中位转化耗时、步骤条件、转化用户清单和流失用户清单均不在源文件中，本示例不生成。正式能力必须由真实接口与权限支持。</x:v>
      </x:c>
      <x:c r="K37" s="101" t="str">
        <x:v>平均/中位转化耗时、步骤条件、转化用户清单和流失用户清单均不在源文件中，本示例不生成。正式能力必须由真实接口与权限支持。</x:v>
      </x:c>
      <x:c r="L37" s="101" t="str">
        <x:v>平均/中位转化耗时、步骤条件、转化用户清单和流失用户清单均不在源文件中，本示例不生成。正式能力必须由真实接口与权限支持。</x:v>
      </x:c>
      <x:c r="M37" s="101" t="str">
        <x:v>平均/中位转化耗时、步骤条件、转化用户清单和流失用户清单均不在源文件中，本示例不生成。正式能力必须由真实接口与权限支持。</x:v>
      </x:c>
      <x:c r="N37" s="101" t="str">
        <x:v>平均/中位转化耗时、步骤条件、转化用户清单和流失用户清单均不在源文件中，本示例不生成。正式能力必须由真实接口与权限支持。</x:v>
      </x:c>
      <x:c r="O37" s="101" t="str">
        <x:v>平均/中位转化耗时、步骤条件、转化用户清单和流失用户清单均不在源文件中，本示例不生成。正式能力必须由真实接口与权限支持。</x:v>
      </x:c>
      <x:c r="P37" s="102" t="str">
        <x:v>平均/中位转化耗时、步骤条件、转化用户清单和流失用户清单均不在源文件中，本示例不生成。正式能力必须由真实接口与权限支持。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</x:sheetData>
  <x:mergeCells>
    <x:mergeCell ref="A1:P2"/>
    <x:mergeCell ref="A3:P3"/>
    <x:mergeCell ref="A5:D5"/>
    <x:mergeCell ref="A6:D8"/>
    <x:mergeCell ref="A9:D9"/>
    <x:mergeCell ref="E5:H5"/>
    <x:mergeCell ref="E6:H8"/>
    <x:mergeCell ref="E9:H9"/>
    <x:mergeCell ref="I5:L5"/>
    <x:mergeCell ref="I6:L8"/>
    <x:mergeCell ref="I9:L9"/>
    <x:mergeCell ref="M5:P5"/>
    <x:mergeCell ref="M6:P8"/>
    <x:mergeCell ref="M9:P9"/>
    <x:mergeCell ref="A11:P11"/>
    <x:mergeCell ref="A19:G19"/>
    <x:mergeCell ref="A29:P29"/>
    <x:mergeCell ref="B30:P30"/>
    <x:mergeCell ref="B31:P31"/>
    <x:mergeCell ref="B32:P32"/>
    <x:mergeCell ref="B33:P33"/>
    <x:mergeCell ref="A35:P37"/>
  </x:mergeCells>
  <x:pageMargins left="0.7" right="0.7" top="0.75" bottom="0.75" header="0.3" footer="0.3"/>
  <x:drawing xmlns:r="http://schemas.openxmlformats.org/officeDocument/2006/relationships" r:id="R3b8f343a5ded4c99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17" t="str">
        <x:v>C04｜近 7 日留存</x:v>
      </x:c>
      <x:c r="B1" s="18" t="str">
        <x:v>C04｜近 7 日留存</x:v>
      </x:c>
      <x:c r="C1" s="18" t="str">
        <x:v>C04｜近 7 日留存</x:v>
      </x:c>
      <x:c r="D1" s="18" t="str">
        <x:v>C04｜近 7 日留存</x:v>
      </x:c>
      <x:c r="E1" s="18" t="str">
        <x:v>C04｜近 7 日留存</x:v>
      </x:c>
      <x:c r="F1" s="18" t="str">
        <x:v>C04｜近 7 日留存</x:v>
      </x:c>
      <x:c r="G1" s="18" t="str">
        <x:v>C04｜近 7 日留存</x:v>
      </x:c>
      <x:c r="H1" s="18" t="str">
        <x:v>C04｜近 7 日留存</x:v>
      </x:c>
      <x:c r="I1" s="19" t="str">
        <x:v>C04｜近 7 日留存</x:v>
      </x:c>
    </x:row>
    <x:row r="2">
      <x:c r="A2" s="20" t="str">
        <x:v>C04｜近 7 日留存</x:v>
      </x:c>
      <x:c r="B2" s="21" t="str">
        <x:v>C04｜近 7 日留存</x:v>
      </x:c>
      <x:c r="C2" s="21" t="str">
        <x:v>C04｜近 7 日留存</x:v>
      </x:c>
      <x:c r="D2" s="21" t="str">
        <x:v>C04｜近 7 日留存</x:v>
      </x:c>
      <x:c r="E2" s="21" t="str">
        <x:v>C04｜近 7 日留存</x:v>
      </x:c>
      <x:c r="F2" s="21" t="str">
        <x:v>C04｜近 7 日留存</x:v>
      </x:c>
      <x:c r="G2" s="21" t="str">
        <x:v>C04｜近 7 日留存</x:v>
      </x:c>
      <x:c r="H2" s="21" t="str">
        <x:v>C04｜近 7 日留存</x:v>
      </x:c>
      <x:c r="I2" s="22" t="str">
        <x:v>C04｜近 7 日留存</x:v>
      </x:c>
    </x:row>
    <x:row r="3">
      <x:c r="A3" s="31" t="str">
        <x:v>来源类型：留存分析｜矩阵同时保留人数与留存率｜未成熟窗口显示为空</x:v>
      </x:c>
      <x:c r="B3" s="32" t="str">
        <x:v>来源类型：留存分析｜矩阵同时保留人数与留存率｜未成熟窗口显示为空</x:v>
      </x:c>
      <x:c r="C3" s="32" t="str">
        <x:v>来源类型：留存分析｜矩阵同时保留人数与留存率｜未成熟窗口显示为空</x:v>
      </x:c>
      <x:c r="D3" s="32" t="str">
        <x:v>来源类型：留存分析｜矩阵同时保留人数与留存率｜未成熟窗口显示为空</x:v>
      </x:c>
      <x:c r="E3" s="32" t="str">
        <x:v>来源类型：留存分析｜矩阵同时保留人数与留存率｜未成熟窗口显示为空</x:v>
      </x:c>
      <x:c r="F3" s="32" t="str">
        <x:v>来源类型：留存分析｜矩阵同时保留人数与留存率｜未成熟窗口显示为空</x:v>
      </x:c>
      <x:c r="G3" s="32" t="str">
        <x:v>来源类型：留存分析｜矩阵同时保留人数与留存率｜未成熟窗口显示为空</x:v>
      </x:c>
      <x:c r="H3" s="32" t="str">
        <x:v>来源类型：留存分析｜矩阵同时保留人数与留存率｜未成熟窗口显示为空</x:v>
      </x:c>
      <x:c r="I3" s="33" t="str">
        <x:v>来源类型：留存分析｜矩阵同时保留人数与留存率｜未成熟窗口显示为空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110" t="str">
        <x:v>初始用户合计</x:v>
      </x:c>
      <x:c r="B5" s="111" t="str">
        <x:v>初始用户合计</x:v>
      </x:c>
      <x:c r="C5" s="112" t="str">
        <x:v>初始用户合计</x:v>
      </x:c>
      <x:c r="D5" s="158" t="str">
        <x:v>次日留存率</x:v>
      </x:c>
      <x:c r="E5" s="159" t="str">
        <x:v>次日留存率</x:v>
      </x:c>
      <x:c r="F5" s="160" t="str">
        <x:v>次日留存率</x:v>
      </x:c>
      <x:c r="G5" s="205" t="str">
        <x:v>第 7 日留存率</x:v>
      </x:c>
      <x:c r="H5" s="206" t="str">
        <x:v>第 7 日留存率</x:v>
      </x:c>
      <x:c r="I5" s="207" t="str">
        <x:v>第 7 日留存率</x:v>
      </x:c>
    </x:row>
    <x:row r="6">
      <x:c r="A6" s="131" t="n">
        <x:f>B33</x:f>
        <x:v>6944</x:v>
      </x:c>
      <x:c r="B6" s="132"/>
      <x:c r="C6" s="133"/>
      <x:c r="D6" s="320" t="n">
        <x:f>C21</x:f>
        <x:v>0.0081</x:v>
      </x:c>
      <x:c r="E6" s="321"/>
      <x:c r="F6" s="322"/>
      <x:c r="G6" s="338" t="n">
        <x:f>I21</x:f>
        <x:v>0.0061</x:v>
      </x:c>
      <x:c r="H6" s="339"/>
      <x:c r="I6" s="340"/>
    </x:row>
    <x:row r="7">
      <x:c r="A7" s="134"/>
      <x:c r="B7" s="135"/>
      <x:c r="C7" s="136"/>
      <x:c r="D7" s="323"/>
      <x:c r="E7" s="324"/>
      <x:c r="F7" s="325"/>
      <x:c r="G7" s="341"/>
      <x:c r="H7" s="342"/>
      <x:c r="I7" s="343"/>
    </x:row>
    <x:row r="8">
      <x:c r="A8" s="137"/>
      <x:c r="B8" s="138"/>
      <x:c r="C8" s="139"/>
      <x:c r="D8" s="326"/>
      <x:c r="E8" s="327"/>
      <x:c r="F8" s="328"/>
      <x:c r="G8" s="344"/>
      <x:c r="H8" s="345"/>
      <x:c r="I8" s="346"/>
    </x:row>
    <x:row r="9">
      <x:c r="A9" s="147" t="str">
        <x:v>源文件汇总结果</x:v>
      </x:c>
      <x:c r="B9" s="148" t="str">
        <x:v>源文件汇总结果</x:v>
      </x:c>
      <x:c r="C9" s="149" t="str">
        <x:v>源文件汇总结果</x:v>
      </x:c>
      <x:c r="D9" s="195" t="str">
        <x:v>平台汇总口径</x:v>
      </x:c>
      <x:c r="E9" s="196" t="str">
        <x:v>平台汇总口径</x:v>
      </x:c>
      <x:c r="F9" s="197" t="str">
        <x:v>平台汇总口径</x:v>
      </x:c>
      <x:c r="G9" s="242" t="str">
        <x:v>平台汇总口径</x:v>
      </x:c>
      <x:c r="H9" s="243" t="str">
        <x:v>平台汇总口径</x:v>
      </x:c>
      <x:c r="I9" s="244" t="str">
        <x:v>平台汇总口径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</x:row>
    <x:row r="11">
      <x:c r="A11" s="42" t="str">
        <x:v>留存率矩阵</x:v>
      </x:c>
      <x:c r="B11" s="43" t="str">
        <x:v>留存率矩阵</x:v>
      </x:c>
      <x:c r="C11" s="43" t="str">
        <x:v>留存率矩阵</x:v>
      </x:c>
      <x:c r="D11" s="43" t="str">
        <x:v>留存率矩阵</x:v>
      </x:c>
      <x:c r="E11" s="43" t="str">
        <x:v>留存率矩阵</x:v>
      </x:c>
      <x:c r="F11" s="43" t="str">
        <x:v>留存率矩阵</x:v>
      </x:c>
      <x:c r="G11" s="43" t="str">
        <x:v>留存率矩阵</x:v>
      </x:c>
      <x:c r="H11" s="43" t="str">
        <x:v>留存率矩阵</x:v>
      </x:c>
      <x:c r="I11" s="44" t="str">
        <x:v>留存率矩阵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</x:row>
    <x:row r="13">
      <x:c r="A13" s="53" t="str">
        <x:v>初始行为日期</x:v>
      </x:c>
      <x:c r="B13" s="53" t="str">
        <x:v>总人数</x:v>
      </x:c>
      <x:c r="C13" s="53" t="str">
        <x:v>次日留存率</x:v>
      </x:c>
      <x:c r="D13" s="53" t="str">
        <x:v>第 2 日留存率</x:v>
      </x:c>
      <x:c r="E13" s="53" t="str">
        <x:v>第 3 日留存率</x:v>
      </x:c>
      <x:c r="F13" s="53" t="str">
        <x:v>第 4 日留存率</x:v>
      </x:c>
      <x:c r="G13" s="53" t="str">
        <x:v>第 5 日留存率</x:v>
      </x:c>
      <x:c r="H13" s="53" t="str">
        <x:v>第 6 日留存率</x:v>
      </x:c>
      <x:c r="I13" s="53" t="str">
        <x:v>第 7 日留存率</x:v>
      </x:c>
    </x:row>
    <x:row r="14">
      <x:c r="A14" s="245" t="n">
        <x:v>46260</x:v>
      </x:c>
      <x:c r="B14" s="305" t="n">
        <x:v>980</x:v>
      </x:c>
      <x:c r="C14" s="308" t="n">
        <x:v>0.0112</x:v>
      </x:c>
      <x:c r="D14" s="308" t="n">
        <x:v>0.0041</x:v>
      </x:c>
      <x:c r="E14" s="308" t="n">
        <x:v>0.0082</x:v>
      </x:c>
      <x:c r="F14" s="308" t="n">
        <x:v>0.0112</x:v>
      </x:c>
      <x:c r="G14" s="308" t="n">
        <x:v>0.0112</x:v>
      </x:c>
      <x:c r="H14" s="308" t="n">
        <x:v>0.0133</x:v>
      </x:c>
      <x:c r="I14" s="347" t="n">
        <x:v>0.0061</x:v>
      </x:c>
    </x:row>
    <x:row r="15">
      <x:c r="A15" s="246" t="n">
        <x:v>46261</x:v>
      </x:c>
      <x:c r="B15" s="306" t="n">
        <x:v>1024</x:v>
      </x:c>
      <x:c r="C15" s="310" t="n">
        <x:v>0.0059</x:v>
      </x:c>
      <x:c r="D15" s="310" t="n">
        <x:v>0.0078</x:v>
      </x:c>
      <x:c r="E15" s="310" t="n">
        <x:v>0.0068</x:v>
      </x:c>
      <x:c r="F15" s="310" t="n">
        <x:v>0.0078</x:v>
      </x:c>
      <x:c r="G15" s="310" t="n">
        <x:v>0.0059</x:v>
      </x:c>
      <x:c r="H15" s="310" t="n">
        <x:v>0.0059</x:v>
      </x:c>
      <x:c r="I15" s="348" t="n">
        <x:v>0</x:v>
      </x:c>
    </x:row>
    <x:row r="16">
      <x:c r="A16" s="246" t="n">
        <x:v>46262</x:v>
      </x:c>
      <x:c r="B16" s="306" t="n">
        <x:v>1023</x:v>
      </x:c>
      <x:c r="C16" s="310" t="n">
        <x:v>0.0039</x:v>
      </x:c>
      <x:c r="D16" s="310" t="n">
        <x:v>0.0098</x:v>
      </x:c>
      <x:c r="E16" s="310" t="n">
        <x:v>0.0088</x:v>
      </x:c>
      <x:c r="F16" s="310" t="n">
        <x:v>0.0088</x:v>
      </x:c>
      <x:c r="G16" s="310" t="n">
        <x:v>0.0059</x:v>
      </x:c>
      <x:c r="H16" s="310"/>
      <x:c r="I16" s="348"/>
    </x:row>
    <x:row r="17">
      <x:c r="A17" s="246" t="n">
        <x:v>46263</x:v>
      </x:c>
      <x:c r="B17" s="306" t="n">
        <x:v>949</x:v>
      </x:c>
      <x:c r="C17" s="310" t="n">
        <x:v>0.0095</x:v>
      </x:c>
      <x:c r="D17" s="310" t="n">
        <x:v>0.0148</x:v>
      </x:c>
      <x:c r="E17" s="310" t="n">
        <x:v>0.0074</x:v>
      </x:c>
      <x:c r="F17" s="310" t="n">
        <x:v>0.0063</x:v>
      </x:c>
      <x:c r="G17" s="310"/>
      <x:c r="H17" s="310"/>
      <x:c r="I17" s="348"/>
    </x:row>
    <x:row r="18">
      <x:c r="A18" s="246" t="n">
        <x:v>46264</x:v>
      </x:c>
      <x:c r="B18" s="306" t="n">
        <x:v>988</x:v>
      </x:c>
      <x:c r="C18" s="310" t="n">
        <x:v>0.0071</x:v>
      </x:c>
      <x:c r="D18" s="310" t="n">
        <x:v>0.0091</x:v>
      </x:c>
      <x:c r="E18" s="310" t="n">
        <x:v>0.0061</x:v>
      </x:c>
      <x:c r="F18" s="310"/>
      <x:c r="G18" s="310"/>
      <x:c r="H18" s="310"/>
      <x:c r="I18" s="348"/>
    </x:row>
    <x:row r="19">
      <x:c r="A19" s="246" t="n">
        <x:v>46265</x:v>
      </x:c>
      <x:c r="B19" s="306" t="n">
        <x:v>1024</x:v>
      </x:c>
      <x:c r="C19" s="310" t="n">
        <x:v>0.0146</x:v>
      </x:c>
      <x:c r="D19" s="310" t="n">
        <x:v>0.0107</x:v>
      </x:c>
      <x:c r="E19" s="310"/>
      <x:c r="F19" s="310"/>
      <x:c r="G19" s="310"/>
      <x:c r="H19" s="310"/>
      <x:c r="I19" s="348"/>
    </x:row>
    <x:row r="20">
      <x:c r="A20" s="246" t="n">
        <x:v>46266</x:v>
      </x:c>
      <x:c r="B20" s="306" t="n">
        <x:v>956</x:v>
      </x:c>
      <x:c r="C20" s="310" t="n">
        <x:v>0.0042</x:v>
      </x:c>
      <x:c r="D20" s="310"/>
      <x:c r="E20" s="310"/>
      <x:c r="F20" s="310"/>
      <x:c r="G20" s="310"/>
      <x:c r="H20" s="310"/>
      <x:c r="I20" s="348"/>
    </x:row>
    <x:row r="21">
      <x:c r="A21" s="358" t="str">
        <x:v>合计</x:v>
      </x:c>
      <x:c r="B21" s="359" t="n">
        <x:v>6944</x:v>
      </x:c>
      <x:c r="C21" s="360" t="n">
        <x:v>0.0081</x:v>
      </x:c>
      <x:c r="D21" s="360" t="n">
        <x:v>0.0094</x:v>
      </x:c>
      <x:c r="E21" s="360" t="n">
        <x:v>0.0075</x:v>
      </x:c>
      <x:c r="F21" s="360" t="n">
        <x:v>0.0086</x:v>
      </x:c>
      <x:c r="G21" s="360" t="n">
        <x:v>0.0076</x:v>
      </x:c>
      <x:c r="H21" s="360" t="n">
        <x:v>0.0095</x:v>
      </x:c>
      <x:c r="I21" s="360" t="n">
        <x:v>0.0061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42" t="str">
        <x:v>留存人数矩阵</x:v>
      </x:c>
      <x:c r="B23" s="43" t="str">
        <x:v>留存人数矩阵</x:v>
      </x:c>
      <x:c r="C23" s="43" t="str">
        <x:v>留存人数矩阵</x:v>
      </x:c>
      <x:c r="D23" s="43" t="str">
        <x:v>留存人数矩阵</x:v>
      </x:c>
      <x:c r="E23" s="43" t="str">
        <x:v>留存人数矩阵</x:v>
      </x:c>
      <x:c r="F23" s="43" t="str">
        <x:v>留存人数矩阵</x:v>
      </x:c>
      <x:c r="G23" s="43" t="str">
        <x:v>留存人数矩阵</x:v>
      </x:c>
      <x:c r="H23" s="43" t="str">
        <x:v>留存人数矩阵</x:v>
      </x:c>
      <x:c r="I23" s="44" t="str">
        <x:v>留存人数矩阵</x:v>
      </x:c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53" t="str">
        <x:v>初始行为日期</x:v>
      </x:c>
      <x:c r="B25" s="53" t="str">
        <x:v>总人数</x:v>
      </x:c>
      <x:c r="C25" s="53" t="str">
        <x:v>次日人数</x:v>
      </x:c>
      <x:c r="D25" s="53" t="str">
        <x:v>第 2 日人数</x:v>
      </x:c>
      <x:c r="E25" s="53" t="str">
        <x:v>第 3 日人数</x:v>
      </x:c>
      <x:c r="F25" s="53" t="str">
        <x:v>第 4 日人数</x:v>
      </x:c>
      <x:c r="G25" s="53" t="str">
        <x:v>第 5 日人数</x:v>
      </x:c>
      <x:c r="H25" s="53" t="str">
        <x:v>第 6 日人数</x:v>
      </x:c>
      <x:c r="I25" s="53" t="str">
        <x:v>第 7 日人数</x:v>
      </x:c>
    </x:row>
    <x:row r="26">
      <x:c r="A26" s="245" t="n">
        <x:v>46260</x:v>
      </x:c>
      <x:c r="B26" s="305" t="n">
        <x:v>980</x:v>
      </x:c>
      <x:c r="C26" s="305" t="n">
        <x:v>11</x:v>
      </x:c>
      <x:c r="D26" s="305" t="n">
        <x:v>4</x:v>
      </x:c>
      <x:c r="E26" s="305" t="n">
        <x:v>8</x:v>
      </x:c>
      <x:c r="F26" s="305" t="n">
        <x:v>11</x:v>
      </x:c>
      <x:c r="G26" s="305" t="n">
        <x:v>11</x:v>
      </x:c>
      <x:c r="H26" s="305" t="n">
        <x:v>13</x:v>
      </x:c>
      <x:c r="I26" s="248" t="n">
        <x:v>6</x:v>
      </x:c>
    </x:row>
    <x:row r="27">
      <x:c r="A27" s="246" t="n">
        <x:v>46261</x:v>
      </x:c>
      <x:c r="B27" s="306" t="n">
        <x:v>1024</x:v>
      </x:c>
      <x:c r="C27" s="306" t="n">
        <x:v>6</x:v>
      </x:c>
      <x:c r="D27" s="306" t="n">
        <x:v>8</x:v>
      </x:c>
      <x:c r="E27" s="306" t="n">
        <x:v>7</x:v>
      </x:c>
      <x:c r="F27" s="306" t="n">
        <x:v>8</x:v>
      </x:c>
      <x:c r="G27" s="306" t="n">
        <x:v>6</x:v>
      </x:c>
      <x:c r="H27" s="306" t="n">
        <x:v>6</x:v>
      </x:c>
      <x:c r="I27" s="249" t="n">
        <x:v>0</x:v>
      </x:c>
    </x:row>
    <x:row r="28">
      <x:c r="A28" s="246" t="n">
        <x:v>46262</x:v>
      </x:c>
      <x:c r="B28" s="306" t="n">
        <x:v>1023</x:v>
      </x:c>
      <x:c r="C28" s="306" t="n">
        <x:v>4</x:v>
      </x:c>
      <x:c r="D28" s="306" t="n">
        <x:v>10</x:v>
      </x:c>
      <x:c r="E28" s="306" t="n">
        <x:v>9</x:v>
      </x:c>
      <x:c r="F28" s="306" t="n">
        <x:v>9</x:v>
      </x:c>
      <x:c r="G28" s="306" t="n">
        <x:v>6</x:v>
      </x:c>
      <x:c r="H28" s="306"/>
      <x:c r="I28" s="249"/>
    </x:row>
    <x:row r="29">
      <x:c r="A29" s="246" t="n">
        <x:v>46263</x:v>
      </x:c>
      <x:c r="B29" s="306" t="n">
        <x:v>949</x:v>
      </x:c>
      <x:c r="C29" s="306" t="n">
        <x:v>9</x:v>
      </x:c>
      <x:c r="D29" s="306" t="n">
        <x:v>14</x:v>
      </x:c>
      <x:c r="E29" s="306" t="n">
        <x:v>7</x:v>
      </x:c>
      <x:c r="F29" s="306" t="n">
        <x:v>6</x:v>
      </x:c>
      <x:c r="G29" s="306"/>
      <x:c r="H29" s="306"/>
      <x:c r="I29" s="249"/>
    </x:row>
    <x:row r="30">
      <x:c r="A30" s="246" t="n">
        <x:v>46264</x:v>
      </x:c>
      <x:c r="B30" s="306" t="n">
        <x:v>988</x:v>
      </x:c>
      <x:c r="C30" s="306" t="n">
        <x:v>7</x:v>
      </x:c>
      <x:c r="D30" s="306" t="n">
        <x:v>9</x:v>
      </x:c>
      <x:c r="E30" s="306" t="n">
        <x:v>6</x:v>
      </x:c>
      <x:c r="F30" s="306"/>
      <x:c r="G30" s="306"/>
      <x:c r="H30" s="306"/>
      <x:c r="I30" s="249"/>
    </x:row>
    <x:row r="31">
      <x:c r="A31" s="246" t="n">
        <x:v>46265</x:v>
      </x:c>
      <x:c r="B31" s="306" t="n">
        <x:v>1024</x:v>
      </x:c>
      <x:c r="C31" s="306" t="n">
        <x:v>15</x:v>
      </x:c>
      <x:c r="D31" s="306" t="n">
        <x:v>11</x:v>
      </x:c>
      <x:c r="E31" s="306"/>
      <x:c r="F31" s="306"/>
      <x:c r="G31" s="306"/>
      <x:c r="H31" s="306"/>
      <x:c r="I31" s="249"/>
    </x:row>
    <x:row r="32">
      <x:c r="A32" s="246" t="n">
        <x:v>46266</x:v>
      </x:c>
      <x:c r="B32" s="306" t="n">
        <x:v>956</x:v>
      </x:c>
      <x:c r="C32" s="306" t="n">
        <x:v>4</x:v>
      </x:c>
      <x:c r="D32" s="306"/>
      <x:c r="E32" s="306"/>
      <x:c r="F32" s="306"/>
      <x:c r="G32" s="306"/>
      <x:c r="H32" s="306"/>
      <x:c r="I32" s="249"/>
    </x:row>
    <x:row r="33">
      <x:c r="A33" s="358" t="str">
        <x:v>合计</x:v>
      </x:c>
      <x:c r="B33" s="359" t="n">
        <x:v>6944</x:v>
      </x:c>
      <x:c r="C33" s="359" t="n">
        <x:v>56</x:v>
      </x:c>
      <x:c r="D33" s="359" t="n">
        <x:v>56</x:v>
      </x:c>
      <x:c r="E33" s="359" t="n">
        <x:v>37</x:v>
      </x:c>
      <x:c r="F33" s="359" t="n">
        <x:v>34</x:v>
      </x:c>
      <x:c r="G33" s="359" t="n">
        <x:v>23</x:v>
      </x:c>
      <x:c r="H33" s="359" t="n">
        <x:v>19</x:v>
      </x:c>
      <x:c r="I33" s="359" t="n">
        <x:v>6</x:v>
      </x:c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94" t="str">
        <x:v>源文件把未成熟留存窗口显示为 0。为避免把未知误当作真实 0，本示例按 2026-09-02 的可观察窗口将未成熟位置留空；已成熟的真实 0（如 2026-08-27 第 7 日）继续保留。</x:v>
      </x:c>
      <x:c r="B35" s="95" t="str">
        <x:v>源文件把未成熟留存窗口显示为 0。为避免把未知误当作真实 0，本示例按 2026-09-02 的可观察窗口将未成熟位置留空；已成熟的真实 0（如 2026-08-27 第 7 日）继续保留。</x:v>
      </x:c>
      <x:c r="C35" s="95" t="str">
        <x:v>源文件把未成熟留存窗口显示为 0。为避免把未知误当作真实 0，本示例按 2026-09-02 的可观察窗口将未成熟位置留空；已成熟的真实 0（如 2026-08-27 第 7 日）继续保留。</x:v>
      </x:c>
      <x:c r="D35" s="95" t="str">
        <x:v>源文件把未成熟留存窗口显示为 0。为避免把未知误当作真实 0，本示例按 2026-09-02 的可观察窗口将未成熟位置留空；已成熟的真实 0（如 2026-08-27 第 7 日）继续保留。</x:v>
      </x:c>
      <x:c r="E35" s="95" t="str">
        <x:v>源文件把未成熟留存窗口显示为 0。为避免把未知误当作真实 0，本示例按 2026-09-02 的可观察窗口将未成熟位置留空；已成熟的真实 0（如 2026-08-27 第 7 日）继续保留。</x:v>
      </x:c>
      <x:c r="F35" s="95" t="str">
        <x:v>源文件把未成熟留存窗口显示为 0。为避免把未知误当作真实 0，本示例按 2026-09-02 的可观察窗口将未成熟位置留空；已成熟的真实 0（如 2026-08-27 第 7 日）继续保留。</x:v>
      </x:c>
      <x:c r="G35" s="95" t="str">
        <x:v>源文件把未成熟留存窗口显示为 0。为避免把未知误当作真实 0，本示例按 2026-09-02 的可观察窗口将未成熟位置留空；已成熟的真实 0（如 2026-08-27 第 7 日）继续保留。</x:v>
      </x:c>
      <x:c r="H35" s="95" t="str">
        <x:v>源文件把未成熟留存窗口显示为 0。为避免把未知误当作真实 0，本示例按 2026-09-02 的可观察窗口将未成熟位置留空；已成熟的真实 0（如 2026-08-27 第 7 日）继续保留。</x:v>
      </x:c>
      <x:c r="I35" s="96" t="str">
        <x:v>源文件把未成熟留存窗口显示为 0。为避免把未知误当作真实 0，本示例按 2026-09-02 的可观察窗口将未成熟位置留空；已成熟的真实 0（如 2026-08-27 第 7 日）继续保留。</x:v>
      </x:c>
    </x:row>
    <x:row r="36">
      <x:c r="A36" s="97" t="str">
        <x:v>源文件把未成熟留存窗口显示为 0。为避免把未知误当作真实 0，本示例按 2026-09-02 的可观察窗口将未成熟位置留空；已成熟的真实 0（如 2026-08-27 第 7 日）继续保留。</x:v>
      </x:c>
      <x:c r="B36" s="98" t="str">
        <x:v>源文件把未成熟留存窗口显示为 0。为避免把未知误当作真实 0，本示例按 2026-09-02 的可观察窗口将未成熟位置留空；已成熟的真实 0（如 2026-08-27 第 7 日）继续保留。</x:v>
      </x:c>
      <x:c r="C36" s="98" t="str">
        <x:v>源文件把未成熟留存窗口显示为 0。为避免把未知误当作真实 0，本示例按 2026-09-02 的可观察窗口将未成熟位置留空；已成熟的真实 0（如 2026-08-27 第 7 日）继续保留。</x:v>
      </x:c>
      <x:c r="D36" s="98" t="str">
        <x:v>源文件把未成熟留存窗口显示为 0。为避免把未知误当作真实 0，本示例按 2026-09-02 的可观察窗口将未成熟位置留空；已成熟的真实 0（如 2026-08-27 第 7 日）继续保留。</x:v>
      </x:c>
      <x:c r="E36" s="98" t="str">
        <x:v>源文件把未成熟留存窗口显示为 0。为避免把未知误当作真实 0，本示例按 2026-09-02 的可观察窗口将未成熟位置留空；已成熟的真实 0（如 2026-08-27 第 7 日）继续保留。</x:v>
      </x:c>
      <x:c r="F36" s="98" t="str">
        <x:v>源文件把未成熟留存窗口显示为 0。为避免把未知误当作真实 0，本示例按 2026-09-02 的可观察窗口将未成熟位置留空；已成熟的真实 0（如 2026-08-27 第 7 日）继续保留。</x:v>
      </x:c>
      <x:c r="G36" s="98" t="str">
        <x:v>源文件把未成熟留存窗口显示为 0。为避免把未知误当作真实 0，本示例按 2026-09-02 的可观察窗口将未成熟位置留空；已成熟的真实 0（如 2026-08-27 第 7 日）继续保留。</x:v>
      </x:c>
      <x:c r="H36" s="98" t="str">
        <x:v>源文件把未成熟留存窗口显示为 0。为避免把未知误当作真实 0，本示例按 2026-09-02 的可观察窗口将未成熟位置留空；已成熟的真实 0（如 2026-08-27 第 7 日）继续保留。</x:v>
      </x:c>
      <x:c r="I36" s="99" t="str">
        <x:v>源文件把未成熟留存窗口显示为 0。为避免把未知误当作真实 0，本示例按 2026-09-02 的可观察窗口将未成熟位置留空；已成熟的真实 0（如 2026-08-27 第 7 日）继续保留。</x:v>
      </x:c>
    </x:row>
    <x:row r="37">
      <x:c r="A37" s="100" t="str">
        <x:v>源文件把未成熟留存窗口显示为 0。为避免把未知误当作真实 0，本示例按 2026-09-02 的可观察窗口将未成熟位置留空；已成熟的真实 0（如 2026-08-27 第 7 日）继续保留。</x:v>
      </x:c>
      <x:c r="B37" s="101" t="str">
        <x:v>源文件把未成熟留存窗口显示为 0。为避免把未知误当作真实 0，本示例按 2026-09-02 的可观察窗口将未成熟位置留空；已成熟的真实 0（如 2026-08-27 第 7 日）继续保留。</x:v>
      </x:c>
      <x:c r="C37" s="101" t="str">
        <x:v>源文件把未成熟留存窗口显示为 0。为避免把未知误当作真实 0，本示例按 2026-09-02 的可观察窗口将未成熟位置留空；已成熟的真实 0（如 2026-08-27 第 7 日）继续保留。</x:v>
      </x:c>
      <x:c r="D37" s="101" t="str">
        <x:v>源文件把未成熟留存窗口显示为 0。为避免把未知误当作真实 0，本示例按 2026-09-02 的可观察窗口将未成熟位置留空；已成熟的真实 0（如 2026-08-27 第 7 日）继续保留。</x:v>
      </x:c>
      <x:c r="E37" s="101" t="str">
        <x:v>源文件把未成熟留存窗口显示为 0。为避免把未知误当作真实 0，本示例按 2026-09-02 的可观察窗口将未成熟位置留空；已成熟的真实 0（如 2026-08-27 第 7 日）继续保留。</x:v>
      </x:c>
      <x:c r="F37" s="101" t="str">
        <x:v>源文件把未成熟留存窗口显示为 0。为避免把未知误当作真实 0，本示例按 2026-09-02 的可观察窗口将未成熟位置留空；已成熟的真实 0（如 2026-08-27 第 7 日）继续保留。</x:v>
      </x:c>
      <x:c r="G37" s="101" t="str">
        <x:v>源文件把未成熟留存窗口显示为 0。为避免把未知误当作真实 0，本示例按 2026-09-02 的可观察窗口将未成熟位置留空；已成熟的真实 0（如 2026-08-27 第 7 日）继续保留。</x:v>
      </x:c>
      <x:c r="H37" s="101" t="str">
        <x:v>源文件把未成熟留存窗口显示为 0。为避免把未知误当作真实 0，本示例按 2026-09-02 的可观察窗口将未成熟位置留空；已成熟的真实 0（如 2026-08-27 第 7 日）继续保留。</x:v>
      </x:c>
      <x:c r="I37" s="102" t="str">
        <x:v>源文件把未成熟留存窗口显示为 0。为避免把未知误当作真实 0，本示例按 2026-09-02 的可观察窗口将未成熟位置留空；已成熟的真实 0（如 2026-08-27 第 7 日）继续保留。</x:v>
      </x:c>
    </x:row>
    <x:row r="38">
      <x:c r="A38" s="381" t="str">
        <x:v>来源：近7日留存情况_留存分析_2026-08-26 至 2026-09-01_SensorsAnalytics.xlsx。合计留存率沿用平台聚合结果，不用可见行简单平均重算。</x:v>
      </x:c>
      <x:c r="B38" s="382" t="str">
        <x:v>来源：近7日留存情况_留存分析_2026-08-26 至 2026-09-01_SensorsAnalytics.xlsx。合计留存率沿用平台聚合结果，不用可见行简单平均重算。</x:v>
      </x:c>
      <x:c r="C38" s="382" t="str">
        <x:v>来源：近7日留存情况_留存分析_2026-08-26 至 2026-09-01_SensorsAnalytics.xlsx。合计留存率沿用平台聚合结果，不用可见行简单平均重算。</x:v>
      </x:c>
      <x:c r="D38" s="382" t="str">
        <x:v>来源：近7日留存情况_留存分析_2026-08-26 至 2026-09-01_SensorsAnalytics.xlsx。合计留存率沿用平台聚合结果，不用可见行简单平均重算。</x:v>
      </x:c>
      <x:c r="E38" s="382" t="str">
        <x:v>来源：近7日留存情况_留存分析_2026-08-26 至 2026-09-01_SensorsAnalytics.xlsx。合计留存率沿用平台聚合结果，不用可见行简单平均重算。</x:v>
      </x:c>
      <x:c r="F38" s="382" t="str">
        <x:v>来源：近7日留存情况_留存分析_2026-08-26 至 2026-09-01_SensorsAnalytics.xlsx。合计留存率沿用平台聚合结果，不用可见行简单平均重算。</x:v>
      </x:c>
      <x:c r="G38" s="382" t="str">
        <x:v>来源：近7日留存情况_留存分析_2026-08-26 至 2026-09-01_SensorsAnalytics.xlsx。合计留存率沿用平台聚合结果，不用可见行简单平均重算。</x:v>
      </x:c>
      <x:c r="H38" s="382" t="str">
        <x:v>来源：近7日留存情况_留存分析_2026-08-26 至 2026-09-01_SensorsAnalytics.xlsx。合计留存率沿用平台聚合结果，不用可见行简单平均重算。</x:v>
      </x:c>
      <x:c r="I38" s="383" t="str">
        <x:v>来源：近7日留存情况_留存分析_2026-08-26 至 2026-09-01_SensorsAnalytics.xlsx。合计留存率沿用平台聚合结果，不用可见行简单平均重算。</x:v>
      </x:c>
    </x:row>
    <x:row r="39">
      <x:c r="A39" s="384" t="str">
        <x:v>来源：近7日留存情况_留存分析_2026-08-26 至 2026-09-01_SensorsAnalytics.xlsx。合计留存率沿用平台聚合结果，不用可见行简单平均重算。</x:v>
      </x:c>
      <x:c r="B39" s="385" t="str">
        <x:v>来源：近7日留存情况_留存分析_2026-08-26 至 2026-09-01_SensorsAnalytics.xlsx。合计留存率沿用平台聚合结果，不用可见行简单平均重算。</x:v>
      </x:c>
      <x:c r="C39" s="385" t="str">
        <x:v>来源：近7日留存情况_留存分析_2026-08-26 至 2026-09-01_SensorsAnalytics.xlsx。合计留存率沿用平台聚合结果，不用可见行简单平均重算。</x:v>
      </x:c>
      <x:c r="D39" s="385" t="str">
        <x:v>来源：近7日留存情况_留存分析_2026-08-26 至 2026-09-01_SensorsAnalytics.xlsx。合计留存率沿用平台聚合结果，不用可见行简单平均重算。</x:v>
      </x:c>
      <x:c r="E39" s="385" t="str">
        <x:v>来源：近7日留存情况_留存分析_2026-08-26 至 2026-09-01_SensorsAnalytics.xlsx。合计留存率沿用平台聚合结果，不用可见行简单平均重算。</x:v>
      </x:c>
      <x:c r="F39" s="385" t="str">
        <x:v>来源：近7日留存情况_留存分析_2026-08-26 至 2026-09-01_SensorsAnalytics.xlsx。合计留存率沿用平台聚合结果，不用可见行简单平均重算。</x:v>
      </x:c>
      <x:c r="G39" s="385" t="str">
        <x:v>来源：近7日留存情况_留存分析_2026-08-26 至 2026-09-01_SensorsAnalytics.xlsx。合计留存率沿用平台聚合结果，不用可见行简单平均重算。</x:v>
      </x:c>
      <x:c r="H39" s="385" t="str">
        <x:v>来源：近7日留存情况_留存分析_2026-08-26 至 2026-09-01_SensorsAnalytics.xlsx。合计留存率沿用平台聚合结果，不用可见行简单平均重算。</x:v>
      </x:c>
      <x:c r="I39" s="386" t="str">
        <x:v>来源：近7日留存情况_留存分析_2026-08-26 至 2026-09-01_SensorsAnalytics.xlsx。合计留存率沿用平台聚合结果，不用可见行简单平均重算。</x:v>
      </x:c>
    </x:row>
    <x:row r="40">
      <x:c r="A40" s="387" t="str">
        <x:v>来源：近7日留存情况_留存分析_2026-08-26 至 2026-09-01_SensorsAnalytics.xlsx。合计留存率沿用平台聚合结果，不用可见行简单平均重算。</x:v>
      </x:c>
      <x:c r="B40" s="388" t="str">
        <x:v>来源：近7日留存情况_留存分析_2026-08-26 至 2026-09-01_SensorsAnalytics.xlsx。合计留存率沿用平台聚合结果，不用可见行简单平均重算。</x:v>
      </x:c>
      <x:c r="C40" s="388" t="str">
        <x:v>来源：近7日留存情况_留存分析_2026-08-26 至 2026-09-01_SensorsAnalytics.xlsx。合计留存率沿用平台聚合结果，不用可见行简单平均重算。</x:v>
      </x:c>
      <x:c r="D40" s="388" t="str">
        <x:v>来源：近7日留存情况_留存分析_2026-08-26 至 2026-09-01_SensorsAnalytics.xlsx。合计留存率沿用平台聚合结果，不用可见行简单平均重算。</x:v>
      </x:c>
      <x:c r="E40" s="388" t="str">
        <x:v>来源：近7日留存情况_留存分析_2026-08-26 至 2026-09-01_SensorsAnalytics.xlsx。合计留存率沿用平台聚合结果，不用可见行简单平均重算。</x:v>
      </x:c>
      <x:c r="F40" s="388" t="str">
        <x:v>来源：近7日留存情况_留存分析_2026-08-26 至 2026-09-01_SensorsAnalytics.xlsx。合计留存率沿用平台聚合结果，不用可见行简单平均重算。</x:v>
      </x:c>
      <x:c r="G40" s="388" t="str">
        <x:v>来源：近7日留存情况_留存分析_2026-08-26 至 2026-09-01_SensorsAnalytics.xlsx。合计留存率沿用平台聚合结果，不用可见行简单平均重算。</x:v>
      </x:c>
      <x:c r="H40" s="388" t="str">
        <x:v>来源：近7日留存情况_留存分析_2026-08-26 至 2026-09-01_SensorsAnalytics.xlsx。合计留存率沿用平台聚合结果，不用可见行简单平均重算。</x:v>
      </x:c>
      <x:c r="I40" s="389" t="str">
        <x:v>来源：近7日留存情况_留存分析_2026-08-26 至 2026-09-01_SensorsAnalytics.xlsx。合计留存率沿用平台聚合结果，不用可见行简单平均重算。</x:v>
      </x:c>
    </x:row>
  </x:sheetData>
  <x:mergeCells>
    <x:mergeCell ref="A1:I2"/>
    <x:mergeCell ref="A3:I3"/>
    <x:mergeCell ref="A5:C5"/>
    <x:mergeCell ref="A6:C8"/>
    <x:mergeCell ref="A9:C9"/>
    <x:mergeCell ref="D5:F5"/>
    <x:mergeCell ref="D6:F8"/>
    <x:mergeCell ref="D9:F9"/>
    <x:mergeCell ref="G5:I5"/>
    <x:mergeCell ref="G6:I8"/>
    <x:mergeCell ref="G9:I9"/>
    <x:mergeCell ref="A11:I11"/>
    <x:mergeCell ref="A23:I23"/>
    <x:mergeCell ref="A35:I37"/>
    <x:mergeCell ref="A38:I40"/>
  </x:mergeCells>
  <x:conditionalFormatting sqref="C14:I20">
    <x:cfRule type="colorScale" priority="1">
      <x:colorScale>
        <x:cfvo type="min"/>
        <x:cfvo type="percentile" val="50"/>
        <x:cfvo type="max"/>
        <x:color rgb="FFFFFFFF"/>
        <x:color rgb="FFDBEAFE"/>
        <x:color rgb="FF2563E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13" hidden="0" customWidth="1"/>
    <x:col min="6" max="6" width="18" hidden="0" customWidth="1"/>
    <x:col min="7" max="7" width="13" hidden="0" customWidth="1"/>
    <x:col min="8" max="8" width="20" hidden="0" customWidth="1"/>
    <x:col min="9" max="9" width="13" hidden="0" customWidth="1"/>
    <x:col min="10" max="10" width="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>
      <x:c r="A1" s="17" t="str">
        <x:v>C05｜退出房间次数分布</x:v>
      </x:c>
      <x:c r="B1" s="18" t="str">
        <x:v>C05｜退出房间次数分布</x:v>
      </x:c>
      <x:c r="C1" s="18" t="str">
        <x:v>C05｜退出房间次数分布</x:v>
      </x:c>
      <x:c r="D1" s="18" t="str">
        <x:v>C05｜退出房间次数分布</x:v>
      </x:c>
      <x:c r="E1" s="18" t="str">
        <x:v>C05｜退出房间次数分布</x:v>
      </x:c>
      <x:c r="F1" s="18" t="str">
        <x:v>C05｜退出房间次数分布</x:v>
      </x:c>
      <x:c r="G1" s="18" t="str">
        <x:v>C05｜退出房间次数分布</x:v>
      </x:c>
      <x:c r="H1" s="18" t="str">
        <x:v>C05｜退出房间次数分布</x:v>
      </x:c>
      <x:c r="I1" s="18" t="str">
        <x:v>C05｜退出房间次数分布</x:v>
      </x:c>
      <x:c r="J1" s="18" t="str">
        <x:v>C05｜退出房间次数分布</x:v>
      </x:c>
      <x:c r="K1" s="18" t="str">
        <x:v>C05｜退出房间次数分布</x:v>
      </x:c>
      <x:c r="L1" s="18" t="str">
        <x:v>C05｜退出房间次数分布</x:v>
      </x:c>
      <x:c r="M1" s="18" t="str">
        <x:v>C05｜退出房间次数分布</x:v>
      </x:c>
      <x:c r="N1" s="18" t="str">
        <x:v>C05｜退出房间次数分布</x:v>
      </x:c>
      <x:c r="O1" s="18" t="str">
        <x:v>C05｜退出房间次数分布</x:v>
      </x:c>
      <x:c r="P1" s="18" t="str">
        <x:v>C05｜退出房间次数分布</x:v>
      </x:c>
      <x:c r="Q1" s="18" t="str">
        <x:v>C05｜退出房间次数分布</x:v>
      </x:c>
      <x:c r="R1" s="19" t="str">
        <x:v>C05｜退出房间次数分布</x:v>
      </x:c>
    </x:row>
    <x:row r="2">
      <x:c r="A2" s="20" t="str">
        <x:v>C05｜退出房间次数分布</x:v>
      </x:c>
      <x:c r="B2" s="21" t="str">
        <x:v>C05｜退出房间次数分布</x:v>
      </x:c>
      <x:c r="C2" s="21" t="str">
        <x:v>C05｜退出房间次数分布</x:v>
      </x:c>
      <x:c r="D2" s="21" t="str">
        <x:v>C05｜退出房间次数分布</x:v>
      </x:c>
      <x:c r="E2" s="21" t="str">
        <x:v>C05｜退出房间次数分布</x:v>
      </x:c>
      <x:c r="F2" s="21" t="str">
        <x:v>C05｜退出房间次数分布</x:v>
      </x:c>
      <x:c r="G2" s="21" t="str">
        <x:v>C05｜退出房间次数分布</x:v>
      </x:c>
      <x:c r="H2" s="21" t="str">
        <x:v>C05｜退出房间次数分布</x:v>
      </x:c>
      <x:c r="I2" s="21" t="str">
        <x:v>C05｜退出房间次数分布</x:v>
      </x:c>
      <x:c r="J2" s="21" t="str">
        <x:v>C05｜退出房间次数分布</x:v>
      </x:c>
      <x:c r="K2" s="21" t="str">
        <x:v>C05｜退出房间次数分布</x:v>
      </x:c>
      <x:c r="L2" s="21" t="str">
        <x:v>C05｜退出房间次数分布</x:v>
      </x:c>
      <x:c r="M2" s="21" t="str">
        <x:v>C05｜退出房间次数分布</x:v>
      </x:c>
      <x:c r="N2" s="21" t="str">
        <x:v>C05｜退出房间次数分布</x:v>
      </x:c>
      <x:c r="O2" s="21" t="str">
        <x:v>C05｜退出房间次数分布</x:v>
      </x:c>
      <x:c r="P2" s="21" t="str">
        <x:v>C05｜退出房间次数分布</x:v>
      </x:c>
      <x:c r="Q2" s="21" t="str">
        <x:v>C05｜退出房间次数分布</x:v>
      </x:c>
      <x:c r="R2" s="22" t="str">
        <x:v>C05｜退出房间次数分布</x:v>
      </x:c>
    </x:row>
    <x:row r="3">
      <x:c r="A3" s="31" t="str">
        <x:v>来源类型：分布分析｜观察对象：每日用户次数区间</x:v>
      </x:c>
      <x:c r="B3" s="32" t="str">
        <x:v>来源类型：分布分析｜观察对象：每日用户次数区间</x:v>
      </x:c>
      <x:c r="C3" s="32" t="str">
        <x:v>来源类型：分布分析｜观察对象：每日用户次数区间</x:v>
      </x:c>
      <x:c r="D3" s="32" t="str">
        <x:v>来源类型：分布分析｜观察对象：每日用户次数区间</x:v>
      </x:c>
      <x:c r="E3" s="32" t="str">
        <x:v>来源类型：分布分析｜观察对象：每日用户次数区间</x:v>
      </x:c>
      <x:c r="F3" s="32" t="str">
        <x:v>来源类型：分布分析｜观察对象：每日用户次数区间</x:v>
      </x:c>
      <x:c r="G3" s="32" t="str">
        <x:v>来源类型：分布分析｜观察对象：每日用户次数区间</x:v>
      </x:c>
      <x:c r="H3" s="32" t="str">
        <x:v>来源类型：分布分析｜观察对象：每日用户次数区间</x:v>
      </x:c>
      <x:c r="I3" s="32" t="str">
        <x:v>来源类型：分布分析｜观察对象：每日用户次数区间</x:v>
      </x:c>
      <x:c r="J3" s="32" t="str">
        <x:v>来源类型：分布分析｜观察对象：每日用户次数区间</x:v>
      </x:c>
      <x:c r="K3" s="32" t="str">
        <x:v>来源类型：分布分析｜观察对象：每日用户次数区间</x:v>
      </x:c>
      <x:c r="L3" s="32" t="str">
        <x:v>来源类型：分布分析｜观察对象：每日用户次数区间</x:v>
      </x:c>
      <x:c r="M3" s="32" t="str">
        <x:v>来源类型：分布分析｜观察对象：每日用户次数区间</x:v>
      </x:c>
      <x:c r="N3" s="32" t="str">
        <x:v>来源类型：分布分析｜观察对象：每日用户次数区间</x:v>
      </x:c>
      <x:c r="O3" s="32" t="str">
        <x:v>来源类型：分布分析｜观察对象：每日用户次数区间</x:v>
      </x:c>
      <x:c r="P3" s="32" t="str">
        <x:v>来源类型：分布分析｜观察对象：每日用户次数区间</x:v>
      </x:c>
      <x:c r="Q3" s="32" t="str">
        <x:v>来源类型：分布分析｜观察对象：每日用户次数区间</x:v>
      </x:c>
      <x:c r="R3" s="33" t="str">
        <x:v>来源类型：分布分析｜观察对象：每日用户次数区间</x:v>
      </x:c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110" t="str">
        <x:v>用户日合计</x:v>
      </x:c>
      <x:c r="B5" s="111" t="str">
        <x:v>用户日合计</x:v>
      </x:c>
      <x:c r="C5" s="111" t="str">
        <x:v>用户日合计</x:v>
      </x:c>
      <x:c r="D5" s="112" t="str">
        <x:v>用户日合计</x:v>
      </x:c>
      <x:c r="E5" s="158" t="str">
        <x:v>加权人均次数</x:v>
      </x:c>
      <x:c r="F5" s="159" t="str">
        <x:v>加权人均次数</x:v>
      </x:c>
      <x:c r="G5" s="159" t="str">
        <x:v>加权人均次数</x:v>
      </x:c>
      <x:c r="H5" s="160" t="str">
        <x:v>加权人均次数</x:v>
      </x:c>
      <x:c r="I5" s="110" t="str">
        <x:v>最新日 1～2 次占比</x:v>
      </x:c>
      <x:c r="J5" s="111" t="str">
        <x:v>最新日 1～2 次占比</x:v>
      </x:c>
      <x:c r="K5" s="111" t="str">
        <x:v>最新日 1～2 次占比</x:v>
      </x:c>
      <x:c r="L5" s="112" t="str">
        <x:v>最新日 1～2 次占比</x:v>
      </x:c>
      <x:c r="M5" s="205" t="str">
        <x:v>最新日 5～9 次占比</x:v>
      </x:c>
      <x:c r="N5" s="206" t="str">
        <x:v>最新日 5～9 次占比</x:v>
      </x:c>
      <x:c r="O5" s="206" t="str">
        <x:v>最新日 5～9 次占比</x:v>
      </x:c>
      <x:c r="P5" s="206" t="str">
        <x:v>最新日 5～9 次占比</x:v>
      </x:c>
      <x:c r="Q5" s="206" t="str">
        <x:v>最新日 5～9 次占比</x:v>
      </x:c>
      <x:c r="R5" s="207" t="str">
        <x:v>最新日 5～9 次占比</x:v>
      </x:c>
    </x:row>
    <x:row r="6">
      <x:c r="A6" s="131" t="n">
        <x:f>SUM(B15:B17)</x:f>
        <x:v>2992</x:v>
      </x:c>
      <x:c r="B6" s="132"/>
      <x:c r="C6" s="132"/>
      <x:c r="D6" s="133"/>
      <x:c r="E6" s="399" t="n">
        <x:f>SUMPRODUCT(B15:B17,C15:C17)/SUM(B15:B17)</x:f>
        <x:v>1.375394385026738</x:v>
      </x:c>
      <x:c r="F6" s="400"/>
      <x:c r="G6" s="400"/>
      <x:c r="H6" s="401"/>
      <x:c r="I6" s="278" t="n">
        <x:f>E17</x:f>
        <x:v>0.9194</x:v>
      </x:c>
      <x:c r="J6" s="279"/>
      <x:c r="K6" s="279"/>
      <x:c r="L6" s="280"/>
      <x:c r="M6" s="338" t="n">
        <x:f>I17</x:f>
        <x:v>0.003</x:v>
      </x:c>
      <x:c r="N6" s="339"/>
      <x:c r="O6" s="339"/>
      <x:c r="P6" s="339"/>
      <x:c r="Q6" s="339"/>
      <x:c r="R6" s="340"/>
    </x:row>
    <x:row r="7">
      <x:c r="A7" s="134"/>
      <x:c r="B7" s="135"/>
      <x:c r="C7" s="135"/>
      <x:c r="D7" s="136"/>
      <x:c r="E7" s="402"/>
      <x:c r="F7" s="403"/>
      <x:c r="G7" s="403"/>
      <x:c r="H7" s="404"/>
      <x:c r="I7" s="281"/>
      <x:c r="J7" s="282"/>
      <x:c r="K7" s="282"/>
      <x:c r="L7" s="283"/>
      <x:c r="M7" s="341"/>
      <x:c r="N7" s="342"/>
      <x:c r="O7" s="342"/>
      <x:c r="P7" s="342"/>
      <x:c r="Q7" s="342"/>
      <x:c r="R7" s="343"/>
    </x:row>
    <x:row r="8">
      <x:c r="A8" s="137"/>
      <x:c r="B8" s="138"/>
      <x:c r="C8" s="138"/>
      <x:c r="D8" s="139"/>
      <x:c r="E8" s="405"/>
      <x:c r="F8" s="406"/>
      <x:c r="G8" s="406"/>
      <x:c r="H8" s="407"/>
      <x:c r="I8" s="284"/>
      <x:c r="J8" s="285"/>
      <x:c r="K8" s="285"/>
      <x:c r="L8" s="286"/>
      <x:c r="M8" s="344"/>
      <x:c r="N8" s="345"/>
      <x:c r="O8" s="345"/>
      <x:c r="P8" s="345"/>
      <x:c r="Q8" s="345"/>
      <x:c r="R8" s="346"/>
    </x:row>
    <x:row r="9">
      <x:c r="A9" s="147" t="str">
        <x:v>逐日人数相加，不代表跨日去重用户</x:v>
      </x:c>
      <x:c r="B9" s="148" t="str">
        <x:v>逐日人数相加，不代表跨日去重用户</x:v>
      </x:c>
      <x:c r="C9" s="148" t="str">
        <x:v>逐日人数相加，不代表跨日去重用户</x:v>
      </x:c>
      <x:c r="D9" s="149" t="str">
        <x:v>逐日人数相加，不代表跨日去重用户</x:v>
      </x:c>
      <x:c r="E9" s="195" t="str">
        <x:v>按每日用户数加权</x:v>
      </x:c>
      <x:c r="F9" s="196" t="str">
        <x:v>按每日用户数加权</x:v>
      </x:c>
      <x:c r="G9" s="196" t="str">
        <x:v>按每日用户数加权</x:v>
      </x:c>
      <x:c r="H9" s="197" t="str">
        <x:v>按每日用户数加权</x:v>
      </x:c>
      <x:c r="I9" s="147" t="str">
        <x:v>2026-09-02</x:v>
      </x:c>
      <x:c r="J9" s="148" t="str">
        <x:v>2026-09-02</x:v>
      </x:c>
      <x:c r="K9" s="148" t="str">
        <x:v>2026-09-02</x:v>
      </x:c>
      <x:c r="L9" s="149" t="str">
        <x:v>2026-09-02</x:v>
      </x:c>
      <x:c r="M9" s="242" t="str">
        <x:v>2026-09-02</x:v>
      </x:c>
      <x:c r="N9" s="243" t="str">
        <x:v>2026-09-02</x:v>
      </x:c>
      <x:c r="O9" s="243" t="str">
        <x:v>2026-09-02</x:v>
      </x:c>
      <x:c r="P9" s="243" t="str">
        <x:v>2026-09-02</x:v>
      </x:c>
      <x:c r="Q9" s="243" t="str">
        <x:v>2026-09-02</x:v>
      </x:c>
      <x:c r="R9" s="244" t="str">
        <x:v>2026-09-02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>
      <x:c r="A11" s="42" t="str">
        <x:v>分布结果</x:v>
      </x:c>
      <x:c r="B11" s="43" t="str">
        <x:v>分布结果</x:v>
      </x:c>
      <x:c r="C11" s="43" t="str">
        <x:v>分布结果</x:v>
      </x:c>
      <x:c r="D11" s="43" t="str">
        <x:v>分布结果</x:v>
      </x:c>
      <x:c r="E11" s="43" t="str">
        <x:v>分布结果</x:v>
      </x:c>
      <x:c r="F11" s="43" t="str">
        <x:v>分布结果</x:v>
      </x:c>
      <x:c r="G11" s="43" t="str">
        <x:v>分布结果</x:v>
      </x:c>
      <x:c r="H11" s="43" t="str">
        <x:v>分布结果</x:v>
      </x:c>
      <x:c r="I11" s="43" t="str">
        <x:v>分布结果</x:v>
      </x:c>
      <x:c r="J11" s="43" t="str">
        <x:v>分布结果</x:v>
      </x:c>
      <x:c r="K11" s="43" t="str">
        <x:v>分布结果</x:v>
      </x:c>
      <x:c r="L11" s="43" t="str">
        <x:v>分布结果</x:v>
      </x:c>
      <x:c r="M11" s="43" t="str">
        <x:v>分布结果</x:v>
      </x:c>
      <x:c r="N11" s="43" t="str">
        <x:v>分布结果</x:v>
      </x:c>
      <x:c r="O11" s="43" t="str">
        <x:v>分布结果</x:v>
      </x:c>
      <x:c r="P11" s="43" t="str">
        <x:v>分布结果</x:v>
      </x:c>
      <x:c r="Q11" s="43" t="str">
        <x:v>分布结果</x:v>
      </x:c>
      <x:c r="R11" s="44" t="str">
        <x:v>分布结果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>
      <x:c r="A14" s="53" t="str">
        <x:v>日期</x:v>
      </x:c>
      <x:c r="B14" s="53" t="str">
        <x:v>总人数</x:v>
      </x:c>
      <x:c r="C14" s="53" t="str">
        <x:v>人均值</x:v>
      </x:c>
      <x:c r="D14" s="53" t="str">
        <x:v>1～2 次人数</x:v>
      </x:c>
      <x:c r="E14" s="53" t="str">
        <x:v>占比</x:v>
      </x:c>
      <x:c r="F14" s="53" t="str">
        <x:v>3～4 次人数</x:v>
      </x:c>
      <x:c r="G14" s="53" t="str">
        <x:v>占比</x:v>
      </x:c>
      <x:c r="H14" s="53" t="str">
        <x:v>5～9 次人数</x:v>
      </x:c>
      <x:c r="I14" s="53" t="str">
        <x:v>占比</x:v>
      </x:c>
      <x:c r="J14" s="2"/>
      <x:c r="K14" s="2"/>
      <x:c r="L14" s="2"/>
      <x:c r="M14" s="2"/>
      <x:c r="N14" s="2"/>
      <x:c r="O14" s="2"/>
      <x:c r="P14" s="2"/>
      <x:c r="Q14" s="2"/>
      <x:c r="R14" s="2"/>
      <x:c r="T14" t="str">
        <x:v>日期</x:v>
      </x:c>
      <x:c r="U14" t="str">
        <x:v>1～2 次</x:v>
      </x:c>
      <x:c r="V14" t="str">
        <x:v>3～4 次</x:v>
      </x:c>
      <x:c r="W14" t="str">
        <x:v>5～9 次</x:v>
      </x:c>
    </x:row>
    <x:row r="15">
      <x:c r="A15" s="245" t="n">
        <x:v>46265</x:v>
      </x:c>
      <x:c r="B15" s="305" t="n">
        <x:v>1011</x:v>
      </x:c>
      <x:c r="C15" s="408" t="n">
        <x:v>1.379</x:v>
      </x:c>
      <x:c r="D15" s="305" t="n">
        <x:v>942</x:v>
      </x:c>
      <x:c r="E15" s="308" t="n">
        <x:v>0.9318</x:v>
      </x:c>
      <x:c r="F15" s="305" t="n">
        <x:v>69</x:v>
      </x:c>
      <x:c r="G15" s="308" t="n">
        <x:v>0.0682</x:v>
      </x:c>
      <x:c r="H15" s="305" t="n">
        <x:v>0</x:v>
      </x:c>
      <x:c r="I15" s="347" t="n">
        <x:v>0</x:v>
      </x:c>
      <x:c r="J15" s="2"/>
      <x:c r="K15" s="2"/>
      <x:c r="L15" s="2"/>
      <x:c r="M15" s="2"/>
      <x:c r="N15" s="2"/>
      <x:c r="O15" s="2"/>
      <x:c r="P15" s="2"/>
      <x:c r="Q15" s="2"/>
      <x:c r="R15" s="2"/>
      <x:c r="T15" t="str">
        <x:v>08-31</x:v>
      </x:c>
      <x:c r="U15" t="n">
        <x:v>0.9318</x:v>
      </x:c>
      <x:c r="V15" t="n">
        <x:v>0.0682</x:v>
      </x:c>
      <x:c r="W15" t="n">
        <x:v>0</x:v>
      </x:c>
    </x:row>
    <x:row r="16">
      <x:c r="A16" s="246" t="n">
        <x:v>46266</x:v>
      </x:c>
      <x:c r="B16" s="306" t="n">
        <x:v>988</x:v>
      </x:c>
      <x:c r="C16" s="409" t="n">
        <x:v>1.352</x:v>
      </x:c>
      <x:c r="D16" s="306" t="n">
        <x:v>929</x:v>
      </x:c>
      <x:c r="E16" s="310" t="n">
        <x:v>0.9403</x:v>
      </x:c>
      <x:c r="F16" s="306" t="n">
        <x:v>59</x:v>
      </x:c>
      <x:c r="G16" s="310" t="n">
        <x:v>0.0597</x:v>
      </x:c>
      <x:c r="H16" s="306" t="n">
        <x:v>0</x:v>
      </x:c>
      <x:c r="I16" s="348" t="n">
        <x:v>0</x:v>
      </x:c>
      <x:c r="J16" s="2"/>
      <x:c r="K16" s="2"/>
      <x:c r="L16" s="2"/>
      <x:c r="M16" s="2"/>
      <x:c r="N16" s="2"/>
      <x:c r="O16" s="2"/>
      <x:c r="P16" s="2"/>
      <x:c r="Q16" s="2"/>
      <x:c r="R16" s="2"/>
      <x:c r="T16" t="str">
        <x:v>09-01</x:v>
      </x:c>
      <x:c r="U16" t="n">
        <x:v>0.9403</x:v>
      </x:c>
      <x:c r="V16" t="n">
        <x:v>0.0597</x:v>
      </x:c>
      <x:c r="W16" t="n">
        <x:v>0</x:v>
      </x:c>
    </x:row>
    <x:row r="17">
      <x:c r="A17" s="247" t="n">
        <x:v>46267</x:v>
      </x:c>
      <x:c r="B17" s="307" t="n">
        <x:v>993</x:v>
      </x:c>
      <x:c r="C17" s="410" t="n">
        <x:v>1.395</x:v>
      </x:c>
      <x:c r="D17" s="307" t="n">
        <x:v>913</x:v>
      </x:c>
      <x:c r="E17" s="309" t="n">
        <x:v>0.9194</x:v>
      </x:c>
      <x:c r="F17" s="307" t="n">
        <x:v>77</x:v>
      </x:c>
      <x:c r="G17" s="309" t="n">
        <x:v>0.0775</x:v>
      </x:c>
      <x:c r="H17" s="307" t="n">
        <x:v>3</x:v>
      </x:c>
      <x:c r="I17" s="349" t="n">
        <x:v>0.003</x:v>
      </x:c>
      <x:c r="J17" s="2"/>
      <x:c r="K17" s="2"/>
      <x:c r="L17" s="2"/>
      <x:c r="M17" s="2"/>
      <x:c r="N17" s="2"/>
      <x:c r="O17" s="2"/>
      <x:c r="P17" s="2"/>
      <x:c r="Q17" s="2"/>
      <x:c r="R17" s="2"/>
      <x:c r="T17" t="str">
        <x:v>09-02</x:v>
      </x:c>
      <x:c r="U17" t="n">
        <x:v>0.9194</x:v>
      </x:c>
      <x:c r="V17" t="n">
        <x:v>0.0775</x:v>
      </x:c>
      <x:c r="W17" t="n">
        <x:v>0.003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>
      <x:c r="A29" s="42" t="str">
        <x:v>查询条件与来源</x:v>
      </x:c>
      <x:c r="B29" s="43" t="str">
        <x:v>查询条件与来源</x:v>
      </x:c>
      <x:c r="C29" s="43" t="str">
        <x:v>查询条件与来源</x:v>
      </x:c>
      <x:c r="D29" s="43" t="str">
        <x:v>查询条件与来源</x:v>
      </x:c>
      <x:c r="E29" s="43" t="str">
        <x:v>查询条件与来源</x:v>
      </x:c>
      <x:c r="F29" s="43" t="str">
        <x:v>查询条件与来源</x:v>
      </x:c>
      <x:c r="G29" s="43" t="str">
        <x:v>查询条件与来源</x:v>
      </x:c>
      <x:c r="H29" s="43" t="str">
        <x:v>查询条件与来源</x:v>
      </x:c>
      <x:c r="I29" s="43" t="str">
        <x:v>查询条件与来源</x:v>
      </x:c>
      <x:c r="J29" s="43" t="str">
        <x:v>查询条件与来源</x:v>
      </x:c>
      <x:c r="K29" s="43" t="str">
        <x:v>查询条件与来源</x:v>
      </x:c>
      <x:c r="L29" s="43" t="str">
        <x:v>查询条件与来源</x:v>
      </x:c>
      <x:c r="M29" s="43" t="str">
        <x:v>查询条件与来源</x:v>
      </x:c>
      <x:c r="N29" s="43" t="str">
        <x:v>查询条件与来源</x:v>
      </x:c>
      <x:c r="O29" s="43" t="str">
        <x:v>查询条件与来源</x:v>
      </x:c>
      <x:c r="P29" s="43" t="str">
        <x:v>查询条件与来源</x:v>
      </x:c>
      <x:c r="Q29" s="43" t="str">
        <x:v>查询条件与来源</x:v>
      </x:c>
      <x:c r="R29" s="44" t="str">
        <x:v>查询条件与来源</x:v>
      </x:c>
    </x:row>
    <x:row r="30">
      <x:c r="A30" s="46" t="str">
        <x:v>来源文件</x:v>
      </x:c>
      <x:c r="B30" s="48" t="str">
        <x:v>_分布分析_2026-08-31 至 2026-09-02_SensorsAnalytics.csv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A31" s="46" t="str">
        <x:v>日期范围</x:v>
      </x:c>
      <x:c r="B31" s="48" t="str">
        <x:v>2026-08-31 至 2026-09-02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A32" s="46" t="str">
        <x:v>区间规则</x:v>
      </x:c>
      <x:c r="B32" s="48" t="str">
        <x:v>1 次～3 次（不含 3）、3 次～5 次（不含 5）、5 次～10 次（不含 10）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</x:sheetData>
  <x:mergeCells>
    <x:mergeCell ref="A1:R2"/>
    <x:mergeCell ref="A3:R3"/>
    <x:mergeCell ref="A5:D5"/>
    <x:mergeCell ref="A6:D8"/>
    <x:mergeCell ref="A9:D9"/>
    <x:mergeCell ref="E5:H5"/>
    <x:mergeCell ref="E6:H8"/>
    <x:mergeCell ref="E9:H9"/>
    <x:mergeCell ref="I5:L5"/>
    <x:mergeCell ref="I6:L8"/>
    <x:mergeCell ref="I9:L9"/>
    <x:mergeCell ref="M5:R5"/>
    <x:mergeCell ref="M6:R8"/>
    <x:mergeCell ref="M9:R9"/>
    <x:mergeCell ref="A11:R11"/>
    <x:mergeCell ref="A29:R29"/>
    <x:mergeCell ref="B30:R30"/>
    <x:mergeCell ref="B31:R31"/>
    <x:mergeCell ref="B32:R32"/>
  </x:mergeCells>
  <x:pageMargins left="0.7" right="0.7" top="0.75" bottom="0.75" header="0.3" footer="0.3"/>
  <x:drawing xmlns:r="http://schemas.openxmlformats.org/officeDocument/2006/relationships" r:id="R23f7f023ae7a4161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2" hidden="0" customWidth="1"/>
    <x:col min="4" max="4" width="42" hidden="0" customWidth="1"/>
    <x:col min="5" max="5" width="42" hidden="0" customWidth="1"/>
    <x:col min="6" max="6" width="22" hidden="0" customWidth="1"/>
    <x:col min="7" max="7" width="22" hidden="0" customWidth="1"/>
  </x:cols>
  <x:sheetData>
    <x:row r="1">
      <x:c r="A1" s="17" t="str">
        <x:v>异常与限制</x:v>
      </x:c>
      <x:c r="B1" s="18" t="str">
        <x:v>异常与限制</x:v>
      </x:c>
      <x:c r="C1" s="18" t="str">
        <x:v>异常与限制</x:v>
      </x:c>
      <x:c r="D1" s="18" t="str">
        <x:v>异常与限制</x:v>
      </x:c>
      <x:c r="E1" s="18" t="str">
        <x:v>异常与限制</x:v>
      </x:c>
      <x:c r="F1" s="18" t="str">
        <x:v>异常与限制</x:v>
      </x:c>
      <x:c r="G1" s="19" t="str">
        <x:v>异常与限制</x:v>
      </x:c>
    </x:row>
    <x:row r="2">
      <x:c r="A2" s="20" t="str">
        <x:v>异常与限制</x:v>
      </x:c>
      <x:c r="B2" s="21" t="str">
        <x:v>异常与限制</x:v>
      </x:c>
      <x:c r="C2" s="21" t="str">
        <x:v>异常与限制</x:v>
      </x:c>
      <x:c r="D2" s="21" t="str">
        <x:v>异常与限制</x:v>
      </x:c>
      <x:c r="E2" s="21" t="str">
        <x:v>异常与限制</x:v>
      </x:c>
      <x:c r="F2" s="21" t="str">
        <x:v>异常与限制</x:v>
      </x:c>
      <x:c r="G2" s="22" t="str">
        <x:v>异常与限制</x:v>
      </x:c>
    </x:row>
    <x:row r="3">
      <x:c r="A3" s="31" t="str">
        <x:v>本 Sheet 是导出结果的一部分，不能只在界面弹窗中临时提示。</x:v>
      </x:c>
      <x:c r="B3" s="32" t="str">
        <x:v>本 Sheet 是导出结果的一部分，不能只在界面弹窗中临时提示。</x:v>
      </x:c>
      <x:c r="C3" s="32" t="str">
        <x:v>本 Sheet 是导出结果的一部分，不能只在界面弹窗中临时提示。</x:v>
      </x:c>
      <x:c r="D3" s="32" t="str">
        <x:v>本 Sheet 是导出结果的一部分，不能只在界面弹窗中临时提示。</x:v>
      </x:c>
      <x:c r="E3" s="32" t="str">
        <x:v>本 Sheet 是导出结果的一部分，不能只在界面弹窗中临时提示。</x:v>
      </x:c>
      <x:c r="F3" s="32" t="str">
        <x:v>本 Sheet 是导出结果的一部分，不能只在界面弹窗中临时提示。</x:v>
      </x:c>
      <x:c r="G3" s="33" t="str">
        <x:v>本 Sheet 是导出结果的一部分，不能只在界面弹窗中临时提示。</x:v>
      </x:c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53" t="str">
        <x:v>编号</x:v>
      </x:c>
      <x:c r="B6" s="53" t="str">
        <x:v>范围</x:v>
      </x:c>
      <x:c r="C6" s="53" t="str">
        <x:v>类型</x:v>
      </x:c>
      <x:c r="D6" s="53" t="str">
        <x:v>事实</x:v>
      </x:c>
      <x:c r="E6" s="53" t="str">
        <x:v>本示例处理</x:v>
      </x:c>
      <x:c r="F6" s="53" t="str">
        <x:v>影响</x:v>
      </x:c>
      <x:c r="G6" s="53" t="str">
        <x:v>状态</x:v>
      </x:c>
    </x:row>
    <x:row r="7">
      <x:c r="A7" s="427" t="str">
        <x:v>L-001</x:v>
      </x:c>
      <x:c r="B7" s="64" t="str">
        <x:v>整张看板</x:v>
      </x:c>
      <x:c r="C7" s="64" t="str">
        <x:v>时间范围不一致</x:v>
      </x:c>
      <x:c r="D7" s="64" t="str">
        <x:v>五张真实导出文件使用了不同查询日期</x:v>
      </x:c>
      <x:c r="E7" s="64" t="str">
        <x:v>总览明确提示，禁止跨卡片直接比较</x:v>
      </x:c>
      <x:c r="F7" s="64" t="str">
        <x:v>仅影响跨卡片解读</x:v>
      </x:c>
      <x:c r="G7" s="435" t="str">
        <x:v>已披露</x:v>
      </x:c>
    </x:row>
    <x:row r="8">
      <x:c r="A8" s="427" t="str">
        <x:v>L-002</x:v>
      </x:c>
      <x:c r="B8" s="67" t="str">
        <x:v>全部卡片</x:v>
      </x:c>
      <x:c r="C8" s="67" t="str">
        <x:v>数据更新时间缺失</x:v>
      </x:c>
      <x:c r="D8" s="67" t="str">
        <x:v>源文件没有数据更新时间字段</x:v>
      </x:c>
      <x:c r="E8" s="67" t="str">
        <x:v>标记为未知，不推测</x:v>
      </x:c>
      <x:c r="F8" s="67" t="str">
        <x:v>无法判断数据新鲜度</x:v>
      </x:c>
      <x:c r="G8" s="435" t="str">
        <x:v>待数据能力补充</x:v>
      </x:c>
    </x:row>
    <x:row r="9">
      <x:c r="A9" s="427" t="str">
        <x:v>L-003</x:v>
      </x:c>
      <x:c r="B9" s="67" t="str">
        <x:v>全部卡片</x:v>
      </x:c>
      <x:c r="C9" s="67" t="str">
        <x:v>查询元数据不完整</x:v>
      </x:c>
      <x:c r="D9" s="67" t="str">
        <x:v>部分筛选、时区、用户范围未写入源文件</x:v>
      </x:c>
      <x:c r="E9" s="67" t="str">
        <x:v>在卡片页标记未提供</x:v>
      </x:c>
      <x:c r="F9" s="67" t="str">
        <x:v>无法完全复现查询</x:v>
      </x:c>
      <x:c r="G9" s="435" t="str">
        <x:v>待导出能力补充</x:v>
      </x:c>
    </x:row>
    <x:row r="10">
      <x:c r="A10" s="427" t="str">
        <x:v>L-004</x:v>
      </x:c>
      <x:c r="B10" s="67" t="str">
        <x:v>C03 漏斗</x:v>
      </x:c>
      <x:c r="C10" s="67" t="str">
        <x:v>结果字段不完整</x:v>
      </x:c>
      <x:c r="D10" s="67" t="str">
        <x:v>缺少转化耗时、步骤条件及转化/流失用户清单</x:v>
      </x:c>
      <x:c r="E10" s="67" t="str">
        <x:v>不生成对应结果</x:v>
      </x:c>
      <x:c r="F10" s="67" t="str">
        <x:v>限制漏斗深度分析</x:v>
      </x:c>
      <x:c r="G10" s="435" t="str">
        <x:v>待接口/权限确认</x:v>
      </x:c>
    </x:row>
    <x:row r="11">
      <x:c r="A11" s="427" t="str">
        <x:v>L-005</x:v>
      </x:c>
      <x:c r="B11" s="67" t="str">
        <x:v>C04 留存</x:v>
      </x:c>
      <x:c r="C11" s="67" t="str">
        <x:v>未成熟值混作 0</x:v>
      </x:c>
      <x:c r="D11" s="67" t="str">
        <x:v>源文件不区分未成熟窗口与真实 0</x:v>
      </x:c>
      <x:c r="E11" s="67" t="str">
        <x:v>按可观察窗口留空；成熟 0 保留</x:v>
      </x:c>
      <x:c r="F11" s="67" t="str">
        <x:v>避免错误解读</x:v>
      </x:c>
      <x:c r="G11" s="435" t="str">
        <x:v>Demo 已治理</x:v>
      </x:c>
    </x:row>
    <x:row r="12">
      <x:c r="A12" s="427" t="str">
        <x:v>L-006</x:v>
      </x:c>
      <x:c r="B12" s="70" t="str">
        <x:v>全部卡片</x:v>
      </x:c>
      <x:c r="C12" s="70" t="str">
        <x:v>无原始明细</x:v>
      </x:c>
      <x:c r="D12" s="70" t="str">
        <x:v>现有文件仅含聚合分析结果</x:v>
      </x:c>
      <x:c r="E12" s="70" t="str">
        <x:v>不生成用户级或事件级明细</x:v>
      </x:c>
      <x:c r="F12" s="70" t="str">
        <x:v>不能进行个体级核查</x:v>
      </x:c>
      <x:c r="G12" s="435" t="str">
        <x:v>按真实能力展示</x:v>
      </x:c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  <x:row r="15">
      <x:c r="A15" s="42" t="str">
        <x:v>真实性检查</x:v>
      </x:c>
      <x:c r="B15" s="43" t="str">
        <x:v>真实性检查</x:v>
      </x:c>
      <x:c r="C15" s="43" t="str">
        <x:v>真实性检查</x:v>
      </x:c>
      <x:c r="D15" s="43" t="str">
        <x:v>真实性检查</x:v>
      </x:c>
      <x:c r="E15" s="43" t="str">
        <x:v>真实性检查</x:v>
      </x:c>
      <x:c r="F15" s="43" t="str">
        <x:v>真实性检查</x:v>
      </x:c>
      <x:c r="G15" s="44" t="str">
        <x:v>真实性检查</x:v>
      </x:c>
    </x:row>
    <x:row r="16">
      <x:c r="A16" s="53" t="str">
        <x:v>检查项</x:v>
      </x:c>
      <x:c r="B16" s="53" t="str">
        <x:v>结果</x:v>
      </x:c>
      <x:c r="C16" s="53"/>
      <x:c r="D16" s="53"/>
      <x:c r="E16" s="53"/>
      <x:c r="F16" s="53"/>
      <x:c r="G16" s="53"/>
    </x:row>
    <x:row r="17" ht="26" customHeight="1">
      <x:c r="A17" s="63" t="str">
        <x:v>是否使用 Mock</x:v>
      </x:c>
      <x:c r="B17" s="64" t="str">
        <x:v>否</x:v>
      </x:c>
      <x:c r="C17" s="64"/>
      <x:c r="D17" s="64"/>
      <x:c r="E17" s="64"/>
      <x:c r="F17" s="64"/>
      <x:c r="G17" s="65"/>
    </x:row>
    <x:row r="18" ht="26" customHeight="1">
      <x:c r="A18" s="66" t="str">
        <x:v>是否生成不存在的原始明细</x:v>
      </x:c>
      <x:c r="B18" s="67" t="str">
        <x:v>否</x:v>
      </x:c>
      <x:c r="C18" s="67"/>
      <x:c r="D18" s="67"/>
      <x:c r="E18" s="67"/>
      <x:c r="F18" s="67"/>
      <x:c r="G18" s="68"/>
    </x:row>
    <x:row r="19" ht="26" customHeight="1">
      <x:c r="A19" s="69" t="str">
        <x:v>是否将未知值补 0</x:v>
      </x:c>
      <x:c r="B19" s="70" t="str">
        <x:v>否；留存未成熟窗口已留空并披露</x:v>
      </x:c>
      <x:c r="C19" s="70"/>
      <x:c r="D19" s="70"/>
      <x:c r="E19" s="70"/>
      <x:c r="F19" s="70"/>
      <x:c r="G19" s="71"/>
    </x:row>
    <x:row r="20">
      <x:c r="A20" s="2"/>
      <x:c r="B20" s="2"/>
      <x:c r="C20" s="2"/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381" t="str">
        <x:v>正式 YPBI 导出时，这些状态应由查询服务、权限服务和数据质量信息自动生成；本 Demo 仅展示用户拿到文件后的可读形态。</x:v>
      </x:c>
      <x:c r="B22" s="382" t="str">
        <x:v>正式 YPBI 导出时，这些状态应由查询服务、权限服务和数据质量信息自动生成；本 Demo 仅展示用户拿到文件后的可读形态。</x:v>
      </x:c>
      <x:c r="C22" s="382" t="str">
        <x:v>正式 YPBI 导出时，这些状态应由查询服务、权限服务和数据质量信息自动生成；本 Demo 仅展示用户拿到文件后的可读形态。</x:v>
      </x:c>
      <x:c r="D22" s="382" t="str">
        <x:v>正式 YPBI 导出时，这些状态应由查询服务、权限服务和数据质量信息自动生成；本 Demo 仅展示用户拿到文件后的可读形态。</x:v>
      </x:c>
      <x:c r="E22" s="382" t="str">
        <x:v>正式 YPBI 导出时，这些状态应由查询服务、权限服务和数据质量信息自动生成；本 Demo 仅展示用户拿到文件后的可读形态。</x:v>
      </x:c>
      <x:c r="F22" s="382" t="str">
        <x:v>正式 YPBI 导出时，这些状态应由查询服务、权限服务和数据质量信息自动生成；本 Demo 仅展示用户拿到文件后的可读形态。</x:v>
      </x:c>
      <x:c r="G22" s="383" t="str">
        <x:v>正式 YPBI 导出时，这些状态应由查询服务、权限服务和数据质量信息自动生成；本 Demo 仅展示用户拿到文件后的可读形态。</x:v>
      </x:c>
    </x:row>
    <x:row r="23">
      <x:c r="A23" s="384" t="str">
        <x:v>正式 YPBI 导出时，这些状态应由查询服务、权限服务和数据质量信息自动生成；本 Demo 仅展示用户拿到文件后的可读形态。</x:v>
      </x:c>
      <x:c r="B23" s="385" t="str">
        <x:v>正式 YPBI 导出时，这些状态应由查询服务、权限服务和数据质量信息自动生成；本 Demo 仅展示用户拿到文件后的可读形态。</x:v>
      </x:c>
      <x:c r="C23" s="385" t="str">
        <x:v>正式 YPBI 导出时，这些状态应由查询服务、权限服务和数据质量信息自动生成；本 Demo 仅展示用户拿到文件后的可读形态。</x:v>
      </x:c>
      <x:c r="D23" s="385" t="str">
        <x:v>正式 YPBI 导出时，这些状态应由查询服务、权限服务和数据质量信息自动生成；本 Demo 仅展示用户拿到文件后的可读形态。</x:v>
      </x:c>
      <x:c r="E23" s="385" t="str">
        <x:v>正式 YPBI 导出时，这些状态应由查询服务、权限服务和数据质量信息自动生成；本 Demo 仅展示用户拿到文件后的可读形态。</x:v>
      </x:c>
      <x:c r="F23" s="385" t="str">
        <x:v>正式 YPBI 导出时，这些状态应由查询服务、权限服务和数据质量信息自动生成；本 Demo 仅展示用户拿到文件后的可读形态。</x:v>
      </x:c>
      <x:c r="G23" s="386" t="str">
        <x:v>正式 YPBI 导出时，这些状态应由查询服务、权限服务和数据质量信息自动生成；本 Demo 仅展示用户拿到文件后的可读形态。</x:v>
      </x:c>
    </x:row>
    <x:row r="24">
      <x:c r="A24" s="387" t="str">
        <x:v>正式 YPBI 导出时，这些状态应由查询服务、权限服务和数据质量信息自动生成；本 Demo 仅展示用户拿到文件后的可读形态。</x:v>
      </x:c>
      <x:c r="B24" s="388" t="str">
        <x:v>正式 YPBI 导出时，这些状态应由查询服务、权限服务和数据质量信息自动生成；本 Demo 仅展示用户拿到文件后的可读形态。</x:v>
      </x:c>
      <x:c r="C24" s="388" t="str">
        <x:v>正式 YPBI 导出时，这些状态应由查询服务、权限服务和数据质量信息自动生成；本 Demo 仅展示用户拿到文件后的可读形态。</x:v>
      </x:c>
      <x:c r="D24" s="388" t="str">
        <x:v>正式 YPBI 导出时，这些状态应由查询服务、权限服务和数据质量信息自动生成；本 Demo 仅展示用户拿到文件后的可读形态。</x:v>
      </x:c>
      <x:c r="E24" s="388" t="str">
        <x:v>正式 YPBI 导出时，这些状态应由查询服务、权限服务和数据质量信息自动生成；本 Demo 仅展示用户拿到文件后的可读形态。</x:v>
      </x:c>
      <x:c r="F24" s="388" t="str">
        <x:v>正式 YPBI 导出时，这些状态应由查询服务、权限服务和数据质量信息自动生成；本 Demo 仅展示用户拿到文件后的可读形态。</x:v>
      </x:c>
      <x:c r="G24" s="389" t="str">
        <x:v>正式 YPBI 导出时，这些状态应由查询服务、权限服务和数据质量信息自动生成；本 Demo 仅展示用户拿到文件后的可读形态。</x:v>
      </x:c>
    </x:row>
    <x:row r="25">
      <x:c r="A25" s="2"/>
      <x:c r="B25" s="2"/>
      <x:c r="C25" s="2"/>
      <x:c r="D25" s="2"/>
      <x:c r="E25" s="2"/>
      <x:c r="F25" s="2"/>
      <x:c r="G25" s="2"/>
    </x:row>
    <x:row r="26">
      <x:c r="A26" s="2"/>
      <x:c r="B26" s="2"/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</x:sheetData>
  <x:mergeCells>
    <x:mergeCell ref="A1:G2"/>
    <x:mergeCell ref="A3:G3"/>
    <x:mergeCell ref="A15:G15"/>
    <x:mergeCell ref="B16:G16"/>
    <x:mergeCell ref="B17:G17"/>
    <x:mergeCell ref="B18:G18"/>
    <x:mergeCell ref="B19:G19"/>
    <x:mergeCell ref="A22:G24"/>
  </x:mergeCells>
  <x:pageMargins left="0.7" right="0.7" top="0.75" bottom="0.75" header="0.3" footer="0.3"/>
</x:worksheet>
</file>