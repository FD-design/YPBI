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960e2499b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出说明" sheetId="1" r:id="Rf30293d1a2e3455f"/>
    <x:sheet xmlns:r="http://schemas.openxmlformats.org/officeDocument/2006/relationships" name="01_关键结果" sheetId="2" r:id="R4ab75e122722494f"/>
    <x:sheet xmlns:r="http://schemas.openxmlformats.org/officeDocument/2006/relationships" name="02_留存率矩阵" sheetId="3" r:id="Rc16218b5ddd34cea"/>
    <x:sheet xmlns:r="http://schemas.openxmlformats.org/officeDocument/2006/relationships" name="03_留存人数矩阵" sheetId="4" r:id="R88e106e89e9641fb"/>
    <x:sheet xmlns:r="http://schemas.openxmlformats.org/officeDocument/2006/relationships" name="04_异常与限制" sheetId="5" r:id="R25c5c42fec80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0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2563EB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b/>
      <x:sz val="11"/>
      <x:color rgb="FF0F172A"/>
      <x:name val="Carlito"/>
    </x:font>
    <x:font>
      <x:sz val="10"/>
      <x:color rgb="FF334155"/>
      <x:name val="Carlito"/>
    </x:font>
    <x:font>
      <x:b/>
      <x:sz val="11"/>
      <x:color rgb="FF0F766E"/>
      <x:name val="Carlito"/>
    </x:font>
    <x:font>
      <x:b/>
      <x:sz val="10"/>
      <x:color rgb="FF64748B"/>
      <x:name val="Carlito"/>
    </x:font>
    <x:font>
      <x:b/>
      <x:sz val="18"/>
      <x:color rgb="FF2563EB"/>
      <x:name val="Carlito"/>
    </x:font>
    <x:font>
      <x:b/>
      <x:sz val="18"/>
      <x:color rgb="FF0F766E"/>
      <x:name val="Carlito"/>
    </x:font>
    <x:font>
      <x:b/>
      <x:sz val="18"/>
      <x:color rgb="FFB45309"/>
      <x:name val="Carlito"/>
    </x:font>
    <x:font>
      <x:sz val="11"/>
      <x:color rgb="FFB45309"/>
      <x:name val="Carlito"/>
    </x:font>
    <x:font>
      <x:b/>
      <x:sz val="10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13">
    <x:border/>
    <x:border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1" fontId="7" fillId="0" borderId="2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201" fontId="6" fillId="4" borderId="6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202" fontId="7" fillId="0" borderId="2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201" fontId="8" fillId="6" borderId="5" xfId="0" applyNumberFormat="1" applyFont="1" applyFill="1" applyBorder="1"/>
    <x:xf numFmtId="202" fontId="8" fillId="6" borderId="5" xfId="0" applyNumberFormat="1" applyFont="1" applyFill="1" applyBorder="1"/>
    <x:xf numFmtId="0" fontId="9" fillId="3" borderId="0" xfId="0" applyNumberFormat="1" applyFont="1" applyFill="1" applyBorder="1"/>
    <x:xf numFmtId="0" fontId="9" fillId="3" borderId="7" xfId="0" applyNumberFormat="1" applyFont="1" applyFill="1" applyBorder="1"/>
    <x:xf numFmtId="0" fontId="9" fillId="3" borderId="6" xfId="0" applyNumberFormat="1" applyFont="1" applyFill="1" applyBorder="1"/>
    <x:xf numFmtId="0" fontId="9" fillId="3" borderId="8" xfId="0" applyNumberFormat="1" applyFont="1" applyFill="1" applyBorder="1"/>
    <x:xf numFmtId="0" fontId="9" fillId="3" borderId="7" xfId="0" applyNumberFormat="1" applyFont="1" applyFill="1" applyBorder="1" applyAlignment="1">
      <x:alignment horizontal="center"/>
    </x:xf>
    <x:xf numFmtId="0" fontId="9" fillId="3" borderId="6" xfId="0" applyNumberFormat="1" applyFont="1" applyFill="1" applyBorder="1" applyAlignment="1">
      <x:alignment horizontal="center"/>
    </x:xf>
    <x:xf numFmtId="0" fontId="9" fillId="3" borderId="8" xfId="0" applyNumberFormat="1" applyFont="1" applyFill="1" applyBorder="1" applyAlignment="1">
      <x:alignment horizontal="center"/>
    </x:xf>
    <x:xf numFmtId="0" fontId="9" fillId="3" borderId="7" xfId="0" applyNumberFormat="1" applyFont="1" applyFill="1" applyBorder="1" applyAlignment="1">
      <x:alignment horizontal="center" vertical="center"/>
    </x:xf>
    <x:xf numFmtId="0" fontId="9" fillId="3" borderId="6" xfId="0" applyNumberFormat="1" applyFont="1" applyFill="1" applyBorder="1" applyAlignment="1">
      <x:alignment horizontal="center" vertical="center"/>
    </x:xf>
    <x:xf numFmtId="0" fontId="9" fillId="3" borderId="8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" xfId="0" applyNumberFormat="1" applyFont="1" applyFill="1" applyBorder="1"/>
    <x:xf numFmtId="0" fontId="10" fillId="3" borderId="12" xfId="0" applyNumberFormat="1" applyFont="1" applyFill="1" applyBorder="1"/>
    <x:xf numFmtId="0" fontId="10" fillId="3" borderId="9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/>
    </x:xf>
    <x:xf numFmtId="0" fontId="10" fillId="3" borderId="10" xfId="0" applyNumberFormat="1" applyFont="1" applyFill="1" applyBorder="1" applyAlignment="1">
      <x:alignment horizontal="center"/>
    </x:xf>
    <x:xf numFmtId="0" fontId="10" fillId="3" borderId="1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/>
    </x:xf>
    <x:xf numFmtId="0" fontId="10" fillId="3" borderId="12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0" xfId="0" applyNumberFormat="1" applyFont="1" applyFill="1" applyBorder="1" applyAlignment="1">
      <x:alignment horizontal="center" vertical="center"/>
    </x:xf>
    <x:xf numFmtId="0" fontId="10" fillId="3" borderId="11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10" fillId="3" borderId="12" xfId="0" applyNumberFormat="1" applyFont="1" applyFill="1" applyBorder="1" applyAlignment="1">
      <x:alignment horizontal="center" vertical="center"/>
    </x:xf>
    <x:xf numFmtId="201" fontId="10" fillId="3" borderId="9" xfId="0" applyNumberFormat="1" applyFont="1" applyFill="1" applyBorder="1" applyAlignment="1">
      <x:alignment horizontal="center" vertical="center"/>
    </x:xf>
    <x:xf numFmtId="201" fontId="10" fillId="3" borderId="0" xfId="0" applyNumberFormat="1" applyFont="1" applyFill="1" applyBorder="1" applyAlignment="1">
      <x:alignment horizontal="center" vertical="center"/>
    </x:xf>
    <x:xf numFmtId="201" fontId="10" fillId="3" borderId="10" xfId="0" applyNumberFormat="1" applyFont="1" applyFill="1" applyBorder="1" applyAlignment="1">
      <x:alignment horizontal="center" vertical="center"/>
    </x:xf>
    <x:xf numFmtId="201" fontId="10" fillId="3" borderId="11" xfId="0" applyNumberFormat="1" applyFont="1" applyFill="1" applyBorder="1" applyAlignment="1">
      <x:alignment horizontal="center" vertical="center"/>
    </x:xf>
    <x:xf numFmtId="201" fontId="10" fillId="3" borderId="1" xfId="0" applyNumberFormat="1" applyFont="1" applyFill="1" applyBorder="1" applyAlignment="1">
      <x:alignment horizontal="center" vertical="center"/>
    </x:xf>
    <x:xf numFmtId="201" fontId="10" fillId="3" borderId="12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6" xfId="0" applyNumberFormat="1" applyFont="1" applyFill="1" applyBorder="1"/>
    <x:xf numFmtId="0" fontId="9" fillId="6" borderId="8" xfId="0" applyNumberFormat="1" applyFont="1" applyFill="1" applyBorder="1"/>
    <x:xf numFmtId="0" fontId="9" fillId="6" borderId="7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8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9" xfId="0" applyNumberFormat="1" applyFont="1" applyFill="1" applyBorder="1"/>
    <x:xf numFmtId="0" fontId="11" fillId="6" borderId="10" xfId="0" applyNumberFormat="1" applyFont="1" applyFill="1" applyBorder="1"/>
    <x:xf numFmtId="0" fontId="11" fillId="6" borderId="11" xfId="0" applyNumberFormat="1" applyFont="1" applyFill="1" applyBorder="1"/>
    <x:xf numFmtId="0" fontId="11" fillId="6" borderId="1" xfId="0" applyNumberFormat="1" applyFont="1" applyFill="1" applyBorder="1"/>
    <x:xf numFmtId="0" fontId="11" fillId="6" borderId="12" xfId="0" applyNumberFormat="1" applyFont="1" applyFill="1" applyBorder="1"/>
    <x:xf numFmtId="0" fontId="11" fillId="6" borderId="9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>
      <x:alignment horizontal="center"/>
    </x:xf>
    <x:xf numFmtId="0" fontId="11" fillId="6" borderId="11" xfId="0" applyNumberFormat="1" applyFont="1" applyFill="1" applyBorder="1" applyAlignment="1">
      <x:alignment horizontal="center"/>
    </x:xf>
    <x:xf numFmtId="0" fontId="11" fillId="6" borderId="1" xfId="0" applyNumberFormat="1" applyFont="1" applyFill="1" applyBorder="1" applyAlignment="1">
      <x:alignment horizontal="center"/>
    </x:xf>
    <x:xf numFmtId="0" fontId="11" fillId="6" borderId="12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10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/>
    </x:xf>
    <x:xf numFmtId="0" fontId="11" fillId="6" borderId="12" xfId="0" applyNumberFormat="1" applyFont="1" applyFill="1" applyBorder="1" applyAlignment="1">
      <x:alignment horizontal="center" vertical="center"/>
    </x:xf>
    <x:xf numFmtId="202" fontId="11" fillId="6" borderId="9" xfId="0" applyNumberFormat="1" applyFont="1" applyFill="1" applyBorder="1" applyAlignment="1">
      <x:alignment horizontal="center" vertical="center"/>
    </x:xf>
    <x:xf numFmtId="202" fontId="11" fillId="6" borderId="0" xfId="0" applyNumberFormat="1" applyFont="1" applyFill="1" applyBorder="1" applyAlignment="1">
      <x:alignment horizontal="center" vertical="center"/>
    </x:xf>
    <x:xf numFmtId="202" fontId="11" fillId="6" borderId="10" xfId="0" applyNumberFormat="1" applyFont="1" applyFill="1" applyBorder="1" applyAlignment="1">
      <x:alignment horizontal="center" vertical="center"/>
    </x:xf>
    <x:xf numFmtId="202" fontId="11" fillId="6" borderId="11" xfId="0" applyNumberFormat="1" applyFont="1" applyFill="1" applyBorder="1" applyAlignment="1">
      <x:alignment horizontal="center" vertical="center"/>
    </x:xf>
    <x:xf numFmtId="202" fontId="11" fillId="6" borderId="1" xfId="0" applyNumberFormat="1" applyFont="1" applyFill="1" applyBorder="1" applyAlignment="1">
      <x:alignment horizontal="center" vertical="center"/>
    </x:xf>
    <x:xf numFmtId="202" fontId="11" fillId="6" borderId="1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6" xfId="0" applyNumberFormat="1" applyFont="1" applyFill="1" applyBorder="1"/>
    <x:xf numFmtId="0" fontId="9" fillId="7" borderId="8" xfId="0" applyNumberFormat="1" applyFont="1" applyFill="1" applyBorder="1"/>
    <x:xf numFmtId="0" fontId="9" fillId="7" borderId="7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9" xfId="0" applyNumberFormat="1" applyFont="1" applyFill="1" applyBorder="1"/>
    <x:xf numFmtId="0" fontId="12" fillId="7" borderId="10" xfId="0" applyNumberFormat="1" applyFont="1" applyFill="1" applyBorder="1"/>
    <x:xf numFmtId="0" fontId="12" fillId="7" borderId="11" xfId="0" applyNumberFormat="1" applyFont="1" applyFill="1" applyBorder="1"/>
    <x:xf numFmtId="0" fontId="12" fillId="7" borderId="1" xfId="0" applyNumberFormat="1" applyFont="1" applyFill="1" applyBorder="1"/>
    <x:xf numFmtId="0" fontId="12" fillId="7" borderId="12" xfId="0" applyNumberFormat="1" applyFont="1" applyFill="1" applyBorder="1"/>
    <x:xf numFmtId="0" fontId="12" fillId="7" borderId="9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10" xfId="0" applyNumberFormat="1" applyFont="1" applyFill="1" applyBorder="1" applyAlignment="1">
      <x:alignment horizontal="center"/>
    </x:xf>
    <x:xf numFmtId="0" fontId="12" fillId="7" borderId="1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/>
    </x:xf>
    <x:xf numFmtId="0" fontId="12" fillId="7" borderId="12" xfId="0" applyNumberFormat="1" applyFont="1" applyFill="1" applyBorder="1" applyAlignment="1">
      <x:alignment horizontal="center"/>
    </x:xf>
    <x:xf numFmtId="0" fontId="12" fillId="7" borderId="9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7" borderId="10" xfId="0" applyNumberFormat="1" applyFont="1" applyFill="1" applyBorder="1" applyAlignment="1">
      <x:alignment horizontal="center" vertical="center"/>
    </x:xf>
    <x:xf numFmtId="0" fontId="12" fillId="7" borderId="11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12" fillId="7" borderId="12" xfId="0" applyNumberFormat="1" applyFont="1" applyFill="1" applyBorder="1" applyAlignment="1">
      <x:alignment horizontal="center" vertical="center"/>
    </x:xf>
    <x:xf numFmtId="202" fontId="12" fillId="7" borderId="9" xfId="0" applyNumberFormat="1" applyFont="1" applyFill="1" applyBorder="1" applyAlignment="1">
      <x:alignment horizontal="center" vertical="center"/>
    </x:xf>
    <x:xf numFmtId="202" fontId="12" fillId="7" borderId="0" xfId="0" applyNumberFormat="1" applyFont="1" applyFill="1" applyBorder="1" applyAlignment="1">
      <x:alignment horizontal="center" vertical="center"/>
    </x:xf>
    <x:xf numFmtId="202" fontId="12" fillId="7" borderId="10" xfId="0" applyNumberFormat="1" applyFont="1" applyFill="1" applyBorder="1" applyAlignment="1">
      <x:alignment horizontal="center" vertical="center"/>
    </x:xf>
    <x:xf numFmtId="202" fontId="12" fillId="7" borderId="11" xfId="0" applyNumberFormat="1" applyFont="1" applyFill="1" applyBorder="1" applyAlignment="1">
      <x:alignment horizontal="center" vertical="center"/>
    </x:xf>
    <x:xf numFmtId="202" fontId="12" fillId="7" borderId="1" xfId="0" applyNumberFormat="1" applyFont="1" applyFill="1" applyBorder="1" applyAlignment="1">
      <x:alignment horizontal="center" vertical="center"/>
    </x:xf>
    <x:xf numFmtId="202" fontId="12" fillId="7" borderId="12" xfId="0" applyNumberFormat="1" applyFont="1" applyFill="1" applyBorder="1" applyAlignment="1">
      <x:alignment horizontal="center" vertical="center"/>
    </x:xf>
    <x:xf numFmtId="203" fontId="10" fillId="3" borderId="9" xfId="0" applyNumberFormat="1" applyFont="1" applyFill="1" applyBorder="1" applyAlignment="1">
      <x:alignment horizontal="center" vertical="center"/>
    </x:xf>
    <x:xf numFmtId="203" fontId="10" fillId="3" borderId="0" xfId="0" applyNumberFormat="1" applyFont="1" applyFill="1" applyBorder="1" applyAlignment="1">
      <x:alignment horizontal="center" vertical="center"/>
    </x:xf>
    <x:xf numFmtId="203" fontId="10" fillId="3" borderId="10" xfId="0" applyNumberFormat="1" applyFont="1" applyFill="1" applyBorder="1" applyAlignment="1">
      <x:alignment horizontal="center" vertical="center"/>
    </x:xf>
    <x:xf numFmtId="203" fontId="10" fillId="3" borderId="11" xfId="0" applyNumberFormat="1" applyFont="1" applyFill="1" applyBorder="1" applyAlignment="1">
      <x:alignment horizontal="center" vertical="center"/>
    </x:xf>
    <x:xf numFmtId="203" fontId="10" fillId="3" borderId="1" xfId="0" applyNumberFormat="1" applyFont="1" applyFill="1" applyBorder="1" applyAlignment="1">
      <x:alignment horizontal="center" vertical="center"/>
    </x:xf>
    <x:xf numFmtId="203" fontId="10" fillId="3" borderId="12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14" fillId="4" borderId="2" xfId="0" applyNumberFormat="1" applyFont="1" applyFill="1" applyBorder="1" applyAlignment="1">
      <x:alignment vertical="center"/>
    </x:xf>
    <x:xf numFmtId="0" fontId="14" fillId="4" borderId="3" xfId="0" applyNumberFormat="1" applyFont="1" applyFill="1" applyBorder="1" applyAlignment="1">
      <x:alignment vertical="center"/>
    </x:xf>
    <x:xf numFmtId="0" fontId="14" fillId="4" borderId="4" xfId="0" applyNumberFormat="1" applyFont="1" applyFill="1" applyBorder="1" applyAlignment="1">
      <x:alignment vertical="center"/>
    </x:xf>
    <x:xf numFmtId="0" fontId="14" fillId="4" borderId="2" xfId="0" applyNumberFormat="1" applyFont="1" applyFill="1" applyBorder="1" applyAlignment="1">
      <x:alignment horizontal="center" vertical="center"/>
    </x:xf>
    <x:xf numFmtId="0" fontId="14" fillId="4" borderId="3" xfId="0" applyNumberFormat="1" applyFont="1" applyFill="1" applyBorder="1" applyAlignment="1">
      <x:alignment horizontal="center" vertical="center"/>
    </x:xf>
    <x:xf numFmtId="0" fontId="14" fillId="4" borderId="4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vertical="center" wrapText="1"/>
    </x:xf>
    <x:xf numFmtId="0" fontId="14" fillId="4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14" fillId="4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14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5b4eb50334e29" /><Relationship Type="http://schemas.openxmlformats.org/officeDocument/2006/relationships/theme" Target="/xl/theme/theme1.xml" Id="R98dd145c963c4226" /><Relationship Type="http://schemas.openxmlformats.org/officeDocument/2006/relationships/sharedStrings" Target="/xl/sharedStrings.xml" Id="R61842b3044534288" /><Relationship Type="http://schemas.openxmlformats.org/officeDocument/2006/relationships/worksheet" Target="/xl/worksheets/sheet1.xml" Id="Rf30293d1a2e3455f" /><Relationship Type="http://schemas.openxmlformats.org/officeDocument/2006/relationships/worksheet" Target="/xl/worksheets/sheet2.xml" Id="R4ab75e122722494f" /><Relationship Type="http://schemas.openxmlformats.org/officeDocument/2006/relationships/worksheet" Target="/xl/worksheets/sheet3.xml" Id="Rc16218b5ddd34cea" /><Relationship Type="http://schemas.openxmlformats.org/officeDocument/2006/relationships/worksheet" Target="/xl/worksheets/sheet4.xml" Id="R88e106e89e9641fb" /><Relationship Type="http://schemas.openxmlformats.org/officeDocument/2006/relationships/worksheet" Target="/xl/worksheets/sheet5.xml" Id="R25c5c42fec8041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8a7c70265440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加权留存率（按留存日）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加权留存率</c:v>
          </c:tx>
          <c:marker>
            <c:symbol val="none"/>
          </c:marker>
          <c:cat>
            <c:strRef>
              <c:f>'01_关键结果'!$A$11:$A$17</c:f>
              <c:strCache>
                <c:ptCount val="0"/>
              </c:strCache>
            </c:strRef>
          </c:cat>
          <c:val>
            <c:numRef>
              <c:f>'01_关键结果'!$B$11:$B$17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8a7c70265440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58a3f93c45d46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YPBI｜留存分析导出示例</x:v>
      </x:c>
      <x:c r="B1" s="3" t="str">
        <x:v>YPBI｜留存分析导出示例</x:v>
      </x:c>
      <x:c r="C1" s="3" t="str">
        <x:v>YPBI｜留存分析导出示例</x:v>
      </x:c>
      <x:c r="D1" s="3" t="str">
        <x:v>YPBI｜留存分析导出示例</x:v>
      </x:c>
      <x:c r="E1" s="3" t="str">
        <x:v>YPBI｜留存分析导出示例</x:v>
      </x:c>
      <x:c r="F1" s="3" t="str">
        <x:v>YPBI｜留存分析导出示例</x:v>
      </x:c>
      <x:c r="G1" s="3" t="str">
        <x:v>YPBI｜留存分析导出示例</x:v>
      </x:c>
      <x:c r="H1" s="3" t="str">
        <x:v>YPBI｜留存分析导出示例</x:v>
      </x:c>
    </x:row>
    <x:row r="2" ht="28" customHeight="1">
      <x:c r="A2" s="7" t="str">
        <x:v>一份工作簿同时提供查询快照、加工结果、留存矩阵与数据限制；不包含用户级原始流水。示例完全基于神策已下载文件。 </x:v>
      </x:c>
      <x:c r="B2" s="7" t="str">
        <x:v>一份工作簿同时提供查询快照、加工结果、留存矩阵与数据限制；不包含用户级原始流水。示例完全基于神策已下载文件。 </x:v>
      </x:c>
      <x:c r="C2" s="7" t="str">
        <x:v>一份工作簿同时提供查询快照、加工结果、留存矩阵与数据限制；不包含用户级原始流水。示例完全基于神策已下载文件。 </x:v>
      </x:c>
      <x:c r="D2" s="7" t="str">
        <x:v>一份工作簿同时提供查询快照、加工结果、留存矩阵与数据限制；不包含用户级原始流水。示例完全基于神策已下载文件。 </x:v>
      </x:c>
      <x:c r="E2" s="7" t="str">
        <x:v>一份工作簿同时提供查询快照、加工结果、留存矩阵与数据限制；不包含用户级原始流水。示例完全基于神策已下载文件。 </x:v>
      </x:c>
      <x:c r="F2" s="7" t="str">
        <x:v>一份工作簿同时提供查询快照、加工结果、留存矩阵与数据限制；不包含用户级原始流水。示例完全基于神策已下载文件。 </x:v>
      </x:c>
      <x:c r="G2" s="7" t="str">
        <x:v>一份工作簿同时提供查询快照、加工结果、留存矩阵与数据限制；不包含用户级原始流水。示例完全基于神策已下载文件。 </x:v>
      </x:c>
      <x:c r="H2" s="7" t="str">
        <x:v>一份工作簿同时提供查询快照、加工结果、留存矩阵与数据限制；不包含用户级原始流水。示例完全基于神策已下载文件。 </x:v>
      </x:c>
    </x:row>
    <x:row r="4" ht="24" customHeight="1">
      <x:c r="A4" s="10" t="str">
        <x:v>导出快照</x:v>
      </x:c>
      <x:c r="B4" s="10" t="str">
        <x:v>导出快照</x:v>
      </x:c>
      <x:c r="C4" s="10" t="str">
        <x:v>导出快照</x:v>
      </x:c>
      <x:c r="D4" s="10" t="str">
        <x:v>导出快照</x:v>
      </x:c>
      <x:c r="E4" s="10" t="str">
        <x:v>导出快照</x:v>
      </x:c>
      <x:c r="F4" s="10" t="str">
        <x:v>导出快照</x:v>
      </x:c>
      <x:c r="G4" s="10" t="str">
        <x:v>导出快照</x:v>
      </x:c>
      <x:c r="H4" s="10" t="str">
        <x:v>导出快照</x:v>
      </x:c>
    </x:row>
    <x:row r="5" ht="30" customHeight="1">
      <x:c r="A5" s="16" t="str">
        <x:v>分析类型</x:v>
      </x:c>
      <x:c r="B5" s="16"/>
      <x:c r="C5" s="26" t="str">
        <x:v>留存分析</x:v>
      </x:c>
      <x:c r="D5" s="26"/>
      <x:c r="E5" s="26"/>
      <x:c r="F5" s="26"/>
      <x:c r="G5" s="26"/>
      <x:c r="H5" s="26"/>
    </x:row>
    <x:row r="6" ht="30" customHeight="1">
      <x:c r="A6" s="17" t="str">
        <x:v>源文件</x:v>
      </x:c>
      <x:c r="B6" s="17"/>
      <x:c r="C6" s="27" t="str">
        <x:v>近7日留存情况_留存分析_2026-08-26 至 2026-09-01_SensorsAnalytics.xlsx</x:v>
      </x:c>
      <x:c r="D6" s="27"/>
      <x:c r="E6" s="27"/>
      <x:c r="F6" s="27"/>
      <x:c r="G6" s="27"/>
      <x:c r="H6" s="27"/>
    </x:row>
    <x:row r="7" ht="30" customHeight="1">
      <x:c r="A7" s="17" t="str">
        <x:v>查询周期</x:v>
      </x:c>
      <x:c r="B7" s="17"/>
      <x:c r="C7" s="27" t="str">
        <x:v>2026-08-26 至 2026-09-01</x:v>
      </x:c>
      <x:c r="D7" s="27"/>
      <x:c r="E7" s="27"/>
      <x:c r="F7" s="27"/>
      <x:c r="G7" s="27"/>
      <x:c r="H7" s="27"/>
    </x:row>
    <x:row r="8" ht="30" customHeight="1">
      <x:c r="A8" s="17" t="str">
        <x:v>成熟度截止日</x:v>
      </x:c>
      <x:c r="B8" s="17"/>
      <x:c r="C8" s="27" t="str">
        <x:v>2026-09-02（依据源表可见数据推断，仅用于本示例）</x:v>
      </x:c>
      <x:c r="D8" s="27"/>
      <x:c r="E8" s="27"/>
      <x:c r="F8" s="27"/>
      <x:c r="G8" s="27"/>
      <x:c r="H8" s="27"/>
    </x:row>
    <x:row r="9" ht="30" customHeight="1">
      <x:c r="A9" s="17" t="str">
        <x:v>成熟度规则</x:v>
      </x:c>
      <x:c r="B9" s="17"/>
      <x:c r="C9" s="27" t="str">
        <x:v>初始行为日期 + 留存日 ≤ 截止日时，该格才可判定；尚未成熟显示“—”。</x:v>
      </x:c>
      <x:c r="D9" s="27"/>
      <x:c r="E9" s="27"/>
      <x:c r="F9" s="27"/>
      <x:c r="G9" s="27"/>
      <x:c r="H9" s="27"/>
    </x:row>
    <x:row r="10" ht="30" customHeight="1">
      <x:c r="A10" s="17" t="str">
        <x:v>统计加工</x:v>
      </x:c>
      <x:c r="B10" s="17"/>
      <x:c r="C10" s="27" t="str">
        <x:v>加权留存率 = 成熟 cohort 留存人数合计 ÷ 对应成熟样本人数。所有比例均以数值类型保存。</x:v>
      </x:c>
      <x:c r="D10" s="27"/>
      <x:c r="E10" s="27"/>
      <x:c r="F10" s="27"/>
      <x:c r="G10" s="27"/>
      <x:c r="H10" s="27"/>
    </x:row>
    <x:row r="11" ht="30" customHeight="1">
      <x:c r="A11" s="17" t="str">
        <x:v>符号约定</x:v>
      </x:c>
      <x:c r="B11" s="17"/>
      <x:c r="C11" s="27" t="str">
        <x:v>— = 尚未成熟/不可判定；0 = 已成熟且真实为零。两者不可混用。</x:v>
      </x:c>
      <x:c r="D11" s="27"/>
      <x:c r="E11" s="27"/>
      <x:c r="F11" s="27"/>
      <x:c r="G11" s="27"/>
      <x:c r="H11" s="27"/>
    </x:row>
    <x:row r="12" ht="30" customHeight="1">
      <x:c r="A12" s="17" t="str">
        <x:v>起始/回访事件</x:v>
      </x:c>
      <x:c r="B12" s="17"/>
      <x:c r="C12" s="27" t="str">
        <x:v>源文件未提供，本示例不补写、不猜测。</x:v>
      </x:c>
      <x:c r="D12" s="27"/>
      <x:c r="E12" s="27"/>
      <x:c r="F12" s="27"/>
      <x:c r="G12" s="27"/>
      <x:c r="H12" s="27"/>
    </x:row>
    <x:row r="13" ht="30" customHeight="1">
      <x:c r="A13" s="17" t="str">
        <x:v>时区与筛选条件</x:v>
      </x:c>
      <x:c r="B13" s="17"/>
      <x:c r="C13" s="27" t="str">
        <x:v>源文件未提供；正式 YPBI 导出应写入系统真实查询条件。</x:v>
      </x:c>
      <x:c r="D13" s="27"/>
      <x:c r="E13" s="27"/>
      <x:c r="F13" s="27"/>
      <x:c r="G13" s="27"/>
      <x:c r="H13" s="27"/>
    </x:row>
    <x:row r="14" ht="30" customHeight="1">
      <x:c r="A14" s="18" t="str">
        <x:v>数据层级</x:v>
      </x:c>
      <x:c r="B14" s="18"/>
      <x:c r="C14" s="28" t="str">
        <x:v>cohort 聚合结果；不生成用户级或事件级原始明细。</x:v>
      </x:c>
      <x:c r="D14" s="28"/>
      <x:c r="E14" s="28"/>
      <x:c r="F14" s="28"/>
      <x:c r="G14" s="28"/>
      <x:c r="H14" s="28"/>
    </x:row>
  </x:sheetData>
  <x:mergeCells>
    <x:mergeCell ref="A1:H1"/>
    <x:mergeCell ref="A2:H2"/>
    <x:mergeCell ref="A4:H4"/>
    <x:mergeCell ref="C5:H5"/>
    <x:mergeCell ref="C6:H6"/>
    <x:mergeCell ref="C7:H7"/>
    <x:mergeCell ref="C8:H8"/>
    <x:mergeCell ref="C9:H9"/>
    <x:mergeCell ref="C10:H10"/>
    <x:mergeCell ref="C11:H11"/>
    <x:mergeCell ref="C12:H12"/>
    <x:mergeCell ref="C13:H13"/>
    <x:mergeCell ref="C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34" customHeight="1">
      <x:c r="A1" s="3" t="str">
        <x:v>YPBI 留存分析｜关键结果</x:v>
      </x:c>
      <x:c r="B1" s="3" t="str">
        <x:v>YPBI 留存分析｜关键结果</x:v>
      </x:c>
      <x:c r="C1" s="3" t="str">
        <x:v>YPBI 留存分析｜关键结果</x:v>
      </x:c>
      <x:c r="D1" s="3" t="str">
        <x:v>YPBI 留存分析｜关键结果</x:v>
      </x:c>
      <x:c r="E1" s="3" t="str">
        <x:v>YPBI 留存分析｜关键结果</x:v>
      </x:c>
      <x:c r="F1" s="3" t="str">
        <x:v>YPBI 留存分析｜关键结果</x:v>
      </x:c>
      <x:c r="G1" s="3" t="str">
        <x:v>YPBI 留存分析｜关键结果</x:v>
      </x:c>
      <x:c r="H1" s="3" t="str">
        <x:v>YPBI 留存分析｜关键结果</x:v>
      </x:c>
      <x:c r="I1" s="3" t="str">
        <x:v>YPBI 留存分析｜关键结果</x:v>
      </x:c>
      <x:c r="J1" s="3" t="str">
        <x:v>YPBI 留存分析｜关键结果</x:v>
      </x:c>
      <x:c r="K1" s="3" t="str">
        <x:v>YPBI 留存分析｜关键结果</x:v>
      </x:c>
      <x:c r="L1" s="3" t="str">
        <x:v>YPBI 留存分析｜关键结果</x:v>
      </x:c>
    </x:row>
    <x:row r="2" ht="28" customHeight="1">
      <x:c r="A2" s="7" t="str">
        <x:v>关键数字为公式加工结果；矩阵与成熟样本均可向下追溯。 </x:v>
      </x:c>
      <x:c r="B2" s="7" t="str">
        <x:v>关键数字为公式加工结果；矩阵与成熟样本均可向下追溯。 </x:v>
      </x:c>
      <x:c r="C2" s="7" t="str">
        <x:v>关键数字为公式加工结果；矩阵与成熟样本均可向下追溯。 </x:v>
      </x:c>
      <x:c r="D2" s="7" t="str">
        <x:v>关键数字为公式加工结果；矩阵与成熟样本均可向下追溯。 </x:v>
      </x:c>
      <x:c r="E2" s="7" t="str">
        <x:v>关键数字为公式加工结果；矩阵与成熟样本均可向下追溯。 </x:v>
      </x:c>
      <x:c r="F2" s="7" t="str">
        <x:v>关键数字为公式加工结果；矩阵与成熟样本均可向下追溯。 </x:v>
      </x:c>
      <x:c r="G2" s="7" t="str">
        <x:v>关键数字为公式加工结果；矩阵与成熟样本均可向下追溯。 </x:v>
      </x:c>
      <x:c r="H2" s="7" t="str">
        <x:v>关键数字为公式加工结果；矩阵与成熟样本均可向下追溯。 </x:v>
      </x:c>
      <x:c r="I2" s="7" t="str">
        <x:v>关键数字为公式加工结果；矩阵与成熟样本均可向下追溯。 </x:v>
      </x:c>
      <x:c r="J2" s="7" t="str">
        <x:v>关键数字为公式加工结果；矩阵与成熟样本均可向下追溯。 </x:v>
      </x:c>
      <x:c r="K2" s="7" t="str">
        <x:v>关键数字为公式加工结果；矩阵与成熟样本均可向下追溯。 </x:v>
      </x:c>
      <x:c r="L2" s="7" t="str">
        <x:v>关键数字为公式加工结果；矩阵与成熟样本均可向下追溯。 </x:v>
      </x:c>
    </x:row>
    <x:row r="4" ht="26" customHeight="1">
      <x:c r="A4" s="68" t="str">
        <x:v>观察期初始人数</x:v>
      </x:c>
      <x:c r="B4" s="69" t="str">
        <x:v>观察期初始人数</x:v>
      </x:c>
      <x:c r="C4" s="70" t="str">
        <x:v>观察期初始人数</x:v>
      </x:c>
      <x:c r="D4" s="102" t="str">
        <x:v>次日加权留存率</x:v>
      </x:c>
      <x:c r="E4" s="103" t="str">
        <x:v>次日加权留存率</x:v>
      </x:c>
      <x:c r="F4" s="104" t="str">
        <x:v>次日加权留存率</x:v>
      </x:c>
      <x:c r="G4" s="137" t="str">
        <x:v>第7日加权留存率</x:v>
      </x:c>
      <x:c r="H4" s="138" t="str">
        <x:v>第7日加权留存率</x:v>
      </x:c>
      <x:c r="I4" s="139" t="str">
        <x:v>第7日加权留存率</x:v>
      </x:c>
      <x:c r="J4" s="68" t="str">
        <x:v>cohort 数</x:v>
      </x:c>
      <x:c r="K4" s="69" t="str">
        <x:v>cohort 数</x:v>
      </x:c>
      <x:c r="L4" s="70" t="str">
        <x:v>cohort 数</x:v>
      </x:c>
    </x:row>
    <x:row r="5" ht="26" customHeight="1">
      <x:c r="A5" s="89" t="n">
        <x:f>'03_留存人数矩阵'!B13</x:f>
        <x:v>6944</x:v>
      </x:c>
      <x:c r="B5" s="90"/>
      <x:c r="C5" s="91"/>
      <x:c r="D5" s="123" t="n">
        <x:f>'02_留存率矩阵'!C14</x:f>
        <x:v>0.008064516129032258</x:v>
      </x:c>
      <x:c r="E5" s="124"/>
      <x:c r="F5" s="125"/>
      <x:c r="G5" s="158" t="n">
        <x:f>'02_留存率矩阵'!I14</x:f>
        <x:v>0.006122448979591836</x:v>
      </x:c>
      <x:c r="H5" s="159"/>
      <x:c r="I5" s="160"/>
      <x:c r="J5" s="164" t="n">
        <x:f>COUNT('03_留存人数矩阵'!B6:B12)</x:f>
        <x:v>7</x:v>
      </x:c>
      <x:c r="K5" s="165"/>
      <x:c r="L5" s="166"/>
    </x:row>
    <x:row r="6" ht="26" customHeight="1">
      <x:c r="A6" s="92"/>
      <x:c r="B6" s="93"/>
      <x:c r="C6" s="94"/>
      <x:c r="D6" s="126"/>
      <x:c r="E6" s="127"/>
      <x:c r="F6" s="128"/>
      <x:c r="G6" s="161"/>
      <x:c r="H6" s="162"/>
      <x:c r="I6" s="163"/>
      <x:c r="J6" s="167"/>
      <x:c r="K6" s="168"/>
      <x:c r="L6" s="169"/>
    </x:row>
    <x:row r="9" ht="24" customHeight="1">
      <x:c r="A9" s="10" t="str">
        <x:v>分日聚合结果</x:v>
      </x:c>
      <x:c r="B9" s="10" t="str">
        <x:v>分日聚合结果</x:v>
      </x:c>
      <x:c r="C9" s="10" t="str">
        <x:v>分日聚合结果</x:v>
      </x:c>
      <x:c r="D9" s="10" t="str">
        <x:v>分日聚合结果</x:v>
      </x:c>
    </x:row>
    <x:row r="10" ht="34" customHeight="1">
      <x:c r="A10" s="34" t="str">
        <x:v>留存日</x:v>
      </x:c>
      <x:c r="B10" s="34" t="str">
        <x:v>加权留存率</x:v>
      </x:c>
      <x:c r="C10" s="34" t="str">
        <x:v>成熟样本数</x:v>
      </x:c>
    </x:row>
    <x:row r="11">
      <x:c r="A11" s="39" t="str">
        <x:v>次日</x:v>
      </x:c>
      <x:c r="B11" s="53" t="n">
        <x:f>'02_留存率矩阵'!C14</x:f>
        <x:v>0.008064516129032258</x:v>
      </x:c>
      <x:c r="C11" s="45" t="n">
        <x:f>'03_留存人数矩阵'!C14</x:f>
        <x:v>6944</x:v>
      </x:c>
    </x:row>
    <x:row r="12">
      <x:c r="A12" s="40" t="str">
        <x:v>第2日</x:v>
      </x:c>
      <x:c r="B12" s="54" t="n">
        <x:f>'02_留存率矩阵'!D14</x:f>
        <x:v>0.009352037408149633</x:v>
      </x:c>
      <x:c r="C12" s="46" t="n">
        <x:f>'03_留存人数矩阵'!D14</x:f>
        <x:v>5988</x:v>
      </x:c>
    </x:row>
    <x:row r="13">
      <x:c r="A13" s="40" t="str">
        <x:v>第3日</x:v>
      </x:c>
      <x:c r="B13" s="54" t="n">
        <x:f>'02_留存率矩阵'!E14</x:f>
        <x:v>0.007453666398066076</x:v>
      </x:c>
      <x:c r="C13" s="46" t="n">
        <x:f>'03_留存人数矩阵'!E14</x:f>
        <x:v>4964</x:v>
      </x:c>
    </x:row>
    <x:row r="14">
      <x:c r="A14" s="40" t="str">
        <x:v>第4日</x:v>
      </x:c>
      <x:c r="B14" s="54" t="n">
        <x:f>'02_留存率矩阵'!F14</x:f>
        <x:v>0.008551307847082495</x:v>
      </x:c>
      <x:c r="C14" s="46" t="n">
        <x:f>'03_留存人数矩阵'!F14</x:f>
        <x:v>3976</x:v>
      </x:c>
    </x:row>
    <x:row r="15">
      <x:c r="A15" s="40" t="str">
        <x:v>第5日</x:v>
      </x:c>
      <x:c r="B15" s="54" t="n">
        <x:f>'02_留存率矩阵'!G14</x:f>
        <x:v>0.007598282127518996</x:v>
      </x:c>
      <x:c r="C15" s="46" t="n">
        <x:f>'03_留存人数矩阵'!G14</x:f>
        <x:v>3027</x:v>
      </x:c>
    </x:row>
    <x:row r="16">
      <x:c r="A16" s="40" t="str">
        <x:v>第6日</x:v>
      </x:c>
      <x:c r="B16" s="54" t="n">
        <x:f>'02_留存率矩阵'!H14</x:f>
        <x:v>0.009481037924151697</x:v>
      </x:c>
      <x:c r="C16" s="46" t="n">
        <x:f>'03_留存人数矩阵'!H14</x:f>
        <x:v>2004</x:v>
      </x:c>
    </x:row>
    <x:row r="17">
      <x:c r="A17" s="41" t="str">
        <x:v>第7日</x:v>
      </x:c>
      <x:c r="B17" s="55" t="n">
        <x:f>'02_留存率矩阵'!I14</x:f>
        <x:v>0.006122448979591836</x:v>
      </x:c>
      <x:c r="C17" s="47" t="n">
        <x:f>'03_留存人数矩阵'!I14</x:f>
        <x:v>980</x:v>
      </x:c>
    </x:row>
    <x:row r="20" ht="32" customHeight="1">
      <x:c r="A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B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C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D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E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F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G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H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I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J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K20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L20" s="172" t="str">
        <x:v>阅读提示：第7日结果只有 2026-08-26 这一个 cohort 已成熟，因此同时查看“成熟样本数”比只看留存率更可靠。尚未成熟的矩阵格均显示为“—”，不会被误读成 0。</x:v>
      </x:c>
    </x:row>
    <x:row r="21" ht="32" customHeight="1">
      <x:c r="A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B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C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D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E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F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G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H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I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J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K21" s="172" t="str">
        <x:v>阅读提示：第7日结果只有 2026-08-26 这一个 cohort 已成熟，因此同时查看“成熟样本数”比只看留存率更可靠。尚未成熟的矩阵格均显示为“—”，不会被误读成 0。</x:v>
      </x:c>
      <x:c r="L21" s="172" t="str">
        <x:v>阅读提示：第7日结果只有 2026-08-26 这一个 cohort 已成熟，因此同时查看“成熟样本数”比只看留存率更可靠。尚未成熟的矩阵格均显示为“—”，不会被误读成 0。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9:D9"/>
    <x:mergeCell ref="A20:L21"/>
  </x:mergeCells>
  <x:pageMargins left="0.7" right="0.7" top="0.75" bottom="0.75" header="0.3" footer="0.3"/>
  <x:drawing xmlns:r="http://schemas.openxmlformats.org/officeDocument/2006/relationships" r:id="Rc58a3f93c45d464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4" customHeight="1">
      <x:c r="A1" s="3" t="str">
        <x:v>留存率矩阵</x:v>
      </x:c>
      <x:c r="B1" s="3" t="str">
        <x:v>留存率矩阵</x:v>
      </x:c>
      <x:c r="C1" s="3" t="str">
        <x:v>留存率矩阵</x:v>
      </x:c>
      <x:c r="D1" s="3" t="str">
        <x:v>留存率矩阵</x:v>
      </x:c>
      <x:c r="E1" s="3" t="str">
        <x:v>留存率矩阵</x:v>
      </x:c>
      <x:c r="F1" s="3" t="str">
        <x:v>留存率矩阵</x:v>
      </x:c>
      <x:c r="G1" s="3" t="str">
        <x:v>留存率矩阵</x:v>
      </x:c>
      <x:c r="H1" s="3" t="str">
        <x:v>留存率矩阵</x:v>
      </x:c>
      <x:c r="I1" s="3" t="str">
        <x:v>留存率矩阵</x:v>
      </x:c>
    </x:row>
    <x:row r="2" ht="28" customHeight="1">
      <x:c r="A2" s="7" t="str">
        <x:v>每个成熟单元格由同一 cohort 的留存人数 ÷ 初始人数计算；尚未成熟显示“—”，不参与汇总。 </x:v>
      </x:c>
      <x:c r="B2" s="7" t="str">
        <x:v>每个成熟单元格由同一 cohort 的留存人数 ÷ 初始人数计算；尚未成熟显示“—”，不参与汇总。 </x:v>
      </x:c>
      <x:c r="C2" s="7" t="str">
        <x:v>每个成熟单元格由同一 cohort 的留存人数 ÷ 初始人数计算；尚未成熟显示“—”，不参与汇总。 </x:v>
      </x:c>
      <x:c r="D2" s="7" t="str">
        <x:v>每个成熟单元格由同一 cohort 的留存人数 ÷ 初始人数计算；尚未成熟显示“—”，不参与汇总。 </x:v>
      </x:c>
      <x:c r="E2" s="7" t="str">
        <x:v>每个成熟单元格由同一 cohort 的留存人数 ÷ 初始人数计算；尚未成熟显示“—”，不参与汇总。 </x:v>
      </x:c>
      <x:c r="F2" s="7" t="str">
        <x:v>每个成熟单元格由同一 cohort 的留存人数 ÷ 初始人数计算；尚未成熟显示“—”，不参与汇总。 </x:v>
      </x:c>
      <x:c r="G2" s="7" t="str">
        <x:v>每个成熟单元格由同一 cohort 的留存人数 ÷ 初始人数计算；尚未成熟显示“—”，不参与汇总。 </x:v>
      </x:c>
      <x:c r="H2" s="7" t="str">
        <x:v>每个成熟单元格由同一 cohort 的留存人数 ÷ 初始人数计算；尚未成熟显示“—”，不参与汇总。 </x:v>
      </x:c>
      <x:c r="I2" s="7" t="str">
        <x:v>每个成熟单元格由同一 cohort 的留存人数 ÷ 初始人数计算；尚未成熟显示“—”，不参与汇总。 </x:v>
      </x:c>
    </x:row>
    <x:row r="5" ht="34" customHeight="1">
      <x:c r="A5" s="34" t="str">
        <x:v>初始行为日期</x:v>
      </x:c>
      <x:c r="B5" s="34" t="str">
        <x:v>初始人数</x:v>
      </x:c>
      <x:c r="C5" s="34" t="str">
        <x:v>次日留存</x:v>
      </x:c>
      <x:c r="D5" s="34" t="str">
        <x:v>第2日留存</x:v>
      </x:c>
      <x:c r="E5" s="34" t="str">
        <x:v>第3日留存</x:v>
      </x:c>
      <x:c r="F5" s="34" t="str">
        <x:v>第4日留存</x:v>
      </x:c>
      <x:c r="G5" s="34" t="str">
        <x:v>第5日留存</x:v>
      </x:c>
      <x:c r="H5" s="34" t="str">
        <x:v>第6日留存</x:v>
      </x:c>
      <x:c r="I5" s="34" t="str">
        <x:v>第7日留存</x:v>
      </x:c>
    </x:row>
    <x:row r="6" ht="24" customHeight="1">
      <x:c r="A6" s="42" t="n">
        <x:v>46260</x:v>
      </x:c>
      <x:c r="B6" s="45" t="n">
        <x:v>980</x:v>
      </x:c>
      <x:c r="C6" s="53" t="n">
        <x:f>'03_留存人数矩阵'!C6/'03_留存人数矩阵'!$B6</x:f>
        <x:v>0.011224489795918367</x:v>
      </x:c>
      <x:c r="D6" s="53" t="n">
        <x:f>'03_留存人数矩阵'!D6/'03_留存人数矩阵'!$B6</x:f>
        <x:v>0.004081632653061225</x:v>
      </x:c>
      <x:c r="E6" s="53" t="n">
        <x:f>'03_留存人数矩阵'!E6/'03_留存人数矩阵'!$B6</x:f>
        <x:v>0.00816326530612245</x:v>
      </x:c>
      <x:c r="F6" s="53" t="n">
        <x:f>'03_留存人数矩阵'!F6/'03_留存人数矩阵'!$B6</x:f>
        <x:v>0.011224489795918367</x:v>
      </x:c>
      <x:c r="G6" s="53" t="n">
        <x:f>'03_留存人数矩阵'!G6/'03_留存人数矩阵'!$B6</x:f>
        <x:v>0.011224489795918367</x:v>
      </x:c>
      <x:c r="H6" s="53" t="n">
        <x:f>'03_留存人数矩阵'!H6/'03_留存人数矩阵'!$B6</x:f>
        <x:v>0.013265306122448979</x:v>
      </x:c>
      <x:c r="I6" s="53" t="n">
        <x:f>'03_留存人数矩阵'!I6/'03_留存人数矩阵'!$B6</x:f>
        <x:v>0.006122448979591836</x:v>
      </x:c>
    </x:row>
    <x:row r="7" ht="24" customHeight="1">
      <x:c r="A7" s="43" t="n">
        <x:v>46261</x:v>
      </x:c>
      <x:c r="B7" s="46" t="n">
        <x:v>1024</x:v>
      </x:c>
      <x:c r="C7" s="54" t="n">
        <x:f>'03_留存人数矩阵'!C7/'03_留存人数矩阵'!$B7</x:f>
        <x:v>0.005859375</x:v>
      </x:c>
      <x:c r="D7" s="54" t="n">
        <x:f>'03_留存人数矩阵'!D7/'03_留存人数矩阵'!$B7</x:f>
        <x:v>0.0078125</x:v>
      </x:c>
      <x:c r="E7" s="54" t="n">
        <x:f>'03_留存人数矩阵'!E7/'03_留存人数矩阵'!$B7</x:f>
        <x:v>0.0068359375</x:v>
      </x:c>
      <x:c r="F7" s="54" t="n">
        <x:f>'03_留存人数矩阵'!F7/'03_留存人数矩阵'!$B7</x:f>
        <x:v>0.0078125</x:v>
      </x:c>
      <x:c r="G7" s="54" t="n">
        <x:f>'03_留存人数矩阵'!G7/'03_留存人数矩阵'!$B7</x:f>
        <x:v>0.005859375</x:v>
      </x:c>
      <x:c r="H7" s="54" t="n">
        <x:f>'03_留存人数矩阵'!H7/'03_留存人数矩阵'!$B7</x:f>
        <x:v>0.005859375</x:v>
      </x:c>
      <x:c r="I7" s="54" t="str">
        <x:v>—</x:v>
      </x:c>
    </x:row>
    <x:row r="8" ht="24" customHeight="1">
      <x:c r="A8" s="43" t="n">
        <x:v>46262</x:v>
      </x:c>
      <x:c r="B8" s="46" t="n">
        <x:v>1023</x:v>
      </x:c>
      <x:c r="C8" s="54" t="n">
        <x:f>'03_留存人数矩阵'!C8/'03_留存人数矩阵'!$B8</x:f>
        <x:v>0.0039100684261974585</x:v>
      </x:c>
      <x:c r="D8" s="54" t="n">
        <x:f>'03_留存人数矩阵'!D8/'03_留存人数矩阵'!$B8</x:f>
        <x:v>0.009775171065493646</x:v>
      </x:c>
      <x:c r="E8" s="54" t="n">
        <x:f>'03_留存人数矩阵'!E8/'03_留存人数矩阵'!$B8</x:f>
        <x:v>0.008797653958944282</x:v>
      </x:c>
      <x:c r="F8" s="54" t="n">
        <x:f>'03_留存人数矩阵'!F8/'03_留存人数矩阵'!$B8</x:f>
        <x:v>0.008797653958944282</x:v>
      </x:c>
      <x:c r="G8" s="54" t="n">
        <x:f>'03_留存人数矩阵'!G8/'03_留存人数矩阵'!$B8</x:f>
        <x:v>0.005865102639296188</x:v>
      </x:c>
      <x:c r="H8" s="54" t="str">
        <x:v>—</x:v>
      </x:c>
      <x:c r="I8" s="54" t="str">
        <x:v>—</x:v>
      </x:c>
    </x:row>
    <x:row r="9" ht="24" customHeight="1">
      <x:c r="A9" s="43" t="n">
        <x:v>46263</x:v>
      </x:c>
      <x:c r="B9" s="46" t="n">
        <x:v>949</x:v>
      </x:c>
      <x:c r="C9" s="54" t="n">
        <x:f>'03_留存人数矩阵'!C9/'03_留存人数矩阵'!$B9</x:f>
        <x:v>0.009483667017913594</x:v>
      </x:c>
      <x:c r="D9" s="54" t="n">
        <x:f>'03_留存人数矩阵'!D9/'03_留存人数矩阵'!$B9</x:f>
        <x:v>0.014752370916754479</x:v>
      </x:c>
      <x:c r="E9" s="54" t="n">
        <x:f>'03_留存人数矩阵'!E9/'03_留存人数矩阵'!$B9</x:f>
        <x:v>0.007376185458377239</x:v>
      </x:c>
      <x:c r="F9" s="54" t="n">
        <x:f>'03_留存人数矩阵'!F9/'03_留存人数矩阵'!$B9</x:f>
        <x:v>0.006322444678609062</x:v>
      </x:c>
      <x:c r="G9" s="54" t="str">
        <x:v>—</x:v>
      </x:c>
      <x:c r="H9" s="54" t="str">
        <x:v>—</x:v>
      </x:c>
      <x:c r="I9" s="54" t="str">
        <x:v>—</x:v>
      </x:c>
    </x:row>
    <x:row r="10" ht="24" customHeight="1">
      <x:c r="A10" s="43" t="n">
        <x:v>46264</x:v>
      </x:c>
      <x:c r="B10" s="46" t="n">
        <x:v>988</x:v>
      </x:c>
      <x:c r="C10" s="54" t="n">
        <x:f>'03_留存人数矩阵'!C10/'03_留存人数矩阵'!$B10</x:f>
        <x:v>0.00708502024291498</x:v>
      </x:c>
      <x:c r="D10" s="54" t="n">
        <x:f>'03_留存人数矩阵'!D10/'03_留存人数矩阵'!$B10</x:f>
        <x:v>0.009109311740890687</x:v>
      </x:c>
      <x:c r="E10" s="54" t="n">
        <x:f>'03_留存人数矩阵'!E10/'03_留存人数矩阵'!$B10</x:f>
        <x:v>0.006072874493927126</x:v>
      </x:c>
      <x:c r="F10" s="54" t="str">
        <x:v>—</x:v>
      </x:c>
      <x:c r="G10" s="54" t="str">
        <x:v>—</x:v>
      </x:c>
      <x:c r="H10" s="54" t="str">
        <x:v>—</x:v>
      </x:c>
      <x:c r="I10" s="54" t="str">
        <x:v>—</x:v>
      </x:c>
    </x:row>
    <x:row r="11" ht="24" customHeight="1">
      <x:c r="A11" s="43" t="n">
        <x:v>46265</x:v>
      </x:c>
      <x:c r="B11" s="46" t="n">
        <x:v>1024</x:v>
      </x:c>
      <x:c r="C11" s="54" t="n">
        <x:f>'03_留存人数矩阵'!C11/'03_留存人数矩阵'!$B11</x:f>
        <x:v>0.0146484375</x:v>
      </x:c>
      <x:c r="D11" s="54" t="n">
        <x:f>'03_留存人数矩阵'!D11/'03_留存人数矩阵'!$B11</x:f>
        <x:v>0.0107421875</x:v>
      </x:c>
      <x:c r="E11" s="54" t="str">
        <x:v>—</x:v>
      </x:c>
      <x:c r="F11" s="54" t="str">
        <x:v>—</x:v>
      </x:c>
      <x:c r="G11" s="54" t="str">
        <x:v>—</x:v>
      </x:c>
      <x:c r="H11" s="54" t="str">
        <x:v>—</x:v>
      </x:c>
      <x:c r="I11" s="54" t="str">
        <x:v>—</x:v>
      </x:c>
    </x:row>
    <x:row r="12" ht="24" customHeight="1">
      <x:c r="A12" s="44" t="n">
        <x:v>46266</x:v>
      </x:c>
      <x:c r="B12" s="47" t="n">
        <x:v>956</x:v>
      </x:c>
      <x:c r="C12" s="55" t="n">
        <x:f>'03_留存人数矩阵'!C12/'03_留存人数矩阵'!$B12</x:f>
        <x:v>0.0041841004184100415</x:v>
      </x:c>
      <x:c r="D12" s="55" t="str">
        <x:v>—</x:v>
      </x:c>
      <x:c r="E12" s="55" t="str">
        <x:v>—</x:v>
      </x:c>
      <x:c r="F12" s="55" t="str">
        <x:v>—</x:v>
      </x:c>
      <x:c r="G12" s="55" t="str">
        <x:v>—</x:v>
      </x:c>
      <x:c r="H12" s="55" t="str">
        <x:v>—</x:v>
      </x:c>
      <x:c r="I12" s="55" t="str">
        <x:v>—</x:v>
      </x:c>
    </x:row>
    <x:row r="13" ht="24" customHeight="1"/>
    <x:row r="14" ht="24" customHeight="1">
      <x:c r="A14" s="58" t="str">
        <x:v>加权留存率</x:v>
      </x:c>
      <x:c r="B14" s="59" t="n">
        <x:f>'03_留存人数矩阵'!B13</x:f>
        <x:v>6944</x:v>
      </x:c>
      <x:c r="C14" s="60" t="n">
        <x:f>'03_留存人数矩阵'!C15</x:f>
        <x:v>0.008064516129032258</x:v>
      </x:c>
      <x:c r="D14" s="60" t="n">
        <x:f>'03_留存人数矩阵'!D15</x:f>
        <x:v>0.009352037408149633</x:v>
      </x:c>
      <x:c r="E14" s="60" t="n">
        <x:f>'03_留存人数矩阵'!E15</x:f>
        <x:v>0.007453666398066076</x:v>
      </x:c>
      <x:c r="F14" s="60" t="n">
        <x:f>'03_留存人数矩阵'!F15</x:f>
        <x:v>0.008551307847082495</x:v>
      </x:c>
      <x:c r="G14" s="60" t="n">
        <x:f>'03_留存人数矩阵'!G15</x:f>
        <x:v>0.007598282127518996</x:v>
      </x:c>
      <x:c r="H14" s="60" t="n">
        <x:f>'03_留存人数矩阵'!H15</x:f>
        <x:v>0.009481037924151697</x:v>
      </x:c>
      <x:c r="I14" s="60" t="n">
        <x:f>'03_留存人数矩阵'!I15</x:f>
        <x:v>0.006122448979591836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" t="str">
        <x:v>留存人数矩阵</x:v>
      </x:c>
      <x:c r="B1" s="3" t="str">
        <x:v>留存人数矩阵</x:v>
      </x:c>
      <x:c r="C1" s="3" t="str">
        <x:v>留存人数矩阵</x:v>
      </x:c>
      <x:c r="D1" s="3" t="str">
        <x:v>留存人数矩阵</x:v>
      </x:c>
      <x:c r="E1" s="3" t="str">
        <x:v>留存人数矩阵</x:v>
      </x:c>
      <x:c r="F1" s="3" t="str">
        <x:v>留存人数矩阵</x:v>
      </x:c>
      <x:c r="G1" s="3" t="str">
        <x:v>留存人数矩阵</x:v>
      </x:c>
      <x:c r="H1" s="3" t="str">
        <x:v>留存人数矩阵</x:v>
      </x:c>
      <x:c r="I1" s="3" t="str">
        <x:v>留存人数矩阵</x:v>
      </x:c>
    </x:row>
    <x:row r="2" ht="28" customHeight="1">
      <x:c r="A2" s="7" t="str">
        <x:v>数据单元格来自源导出；对尚未成熟的原始 0 进行语义纠正，展示为“—”。底部为公式计算的成熟样本与加权结果。 </x:v>
      </x:c>
      <x:c r="B2" s="7" t="str">
        <x:v>数据单元格来自源导出；对尚未成熟的原始 0 进行语义纠正，展示为“—”。底部为公式计算的成熟样本与加权结果。 </x:v>
      </x:c>
      <x:c r="C2" s="7" t="str">
        <x:v>数据单元格来自源导出；对尚未成熟的原始 0 进行语义纠正，展示为“—”。底部为公式计算的成熟样本与加权结果。 </x:v>
      </x:c>
      <x:c r="D2" s="7" t="str">
        <x:v>数据单元格来自源导出；对尚未成熟的原始 0 进行语义纠正，展示为“—”。底部为公式计算的成熟样本与加权结果。 </x:v>
      </x:c>
      <x:c r="E2" s="7" t="str">
        <x:v>数据单元格来自源导出；对尚未成熟的原始 0 进行语义纠正，展示为“—”。底部为公式计算的成熟样本与加权结果。 </x:v>
      </x:c>
      <x:c r="F2" s="7" t="str">
        <x:v>数据单元格来自源导出；对尚未成熟的原始 0 进行语义纠正，展示为“—”。底部为公式计算的成熟样本与加权结果。 </x:v>
      </x:c>
      <x:c r="G2" s="7" t="str">
        <x:v>数据单元格来自源导出；对尚未成熟的原始 0 进行语义纠正，展示为“—”。底部为公式计算的成熟样本与加权结果。 </x:v>
      </x:c>
      <x:c r="H2" s="7" t="str">
        <x:v>数据单元格来自源导出；对尚未成熟的原始 0 进行语义纠正，展示为“—”。底部为公式计算的成熟样本与加权结果。 </x:v>
      </x:c>
      <x:c r="I2" s="7" t="str">
        <x:v>数据单元格来自源导出；对尚未成熟的原始 0 进行语义纠正，展示为“—”。底部为公式计算的成熟样本与加权结果。 </x:v>
      </x:c>
    </x:row>
    <x:row r="5" ht="34" customHeight="1">
      <x:c r="A5" s="34" t="str">
        <x:v>初始行为日期</x:v>
      </x:c>
      <x:c r="B5" s="34" t="str">
        <x:v>初始人数</x:v>
      </x:c>
      <x:c r="C5" s="34" t="str">
        <x:v>次日</x:v>
      </x:c>
      <x:c r="D5" s="34" t="str">
        <x:v>第2日</x:v>
      </x:c>
      <x:c r="E5" s="34" t="str">
        <x:v>第3日</x:v>
      </x:c>
      <x:c r="F5" s="34" t="str">
        <x:v>第4日</x:v>
      </x:c>
      <x:c r="G5" s="34" t="str">
        <x:v>第5日</x:v>
      </x:c>
      <x:c r="H5" s="34" t="str">
        <x:v>第6日</x:v>
      </x:c>
      <x:c r="I5" s="34" t="str">
        <x:v>第7日</x:v>
      </x:c>
    </x:row>
    <x:row r="6" ht="24" customHeight="1">
      <x:c r="A6" s="42" t="n">
        <x:v>46260</x:v>
      </x:c>
      <x:c r="B6" s="45" t="n">
        <x:v>980</x:v>
      </x:c>
      <x:c r="C6" s="45" t="n">
        <x:v>11</x:v>
      </x:c>
      <x:c r="D6" s="45" t="n">
        <x:v>4</x:v>
      </x:c>
      <x:c r="E6" s="45" t="n">
        <x:v>8</x:v>
      </x:c>
      <x:c r="F6" s="45" t="n">
        <x:v>11</x:v>
      </x:c>
      <x:c r="G6" s="45" t="n">
        <x:v>11</x:v>
      </x:c>
      <x:c r="H6" s="45" t="n">
        <x:v>13</x:v>
      </x:c>
      <x:c r="I6" s="45" t="n">
        <x:v>6</x:v>
      </x:c>
    </x:row>
    <x:row r="7" ht="24" customHeight="1">
      <x:c r="A7" s="43" t="n">
        <x:v>46261</x:v>
      </x:c>
      <x:c r="B7" s="46" t="n">
        <x:v>1024</x:v>
      </x:c>
      <x:c r="C7" s="46" t="n">
        <x:v>6</x:v>
      </x:c>
      <x:c r="D7" s="46" t="n">
        <x:v>8</x:v>
      </x:c>
      <x:c r="E7" s="46" t="n">
        <x:v>7</x:v>
      </x:c>
      <x:c r="F7" s="46" t="n">
        <x:v>8</x:v>
      </x:c>
      <x:c r="G7" s="46" t="n">
        <x:v>6</x:v>
      </x:c>
      <x:c r="H7" s="46" t="n">
        <x:v>6</x:v>
      </x:c>
      <x:c r="I7" s="46" t="str">
        <x:v>—</x:v>
      </x:c>
    </x:row>
    <x:row r="8" ht="24" customHeight="1">
      <x:c r="A8" s="43" t="n">
        <x:v>46262</x:v>
      </x:c>
      <x:c r="B8" s="46" t="n">
        <x:v>1023</x:v>
      </x:c>
      <x:c r="C8" s="46" t="n">
        <x:v>4</x:v>
      </x:c>
      <x:c r="D8" s="46" t="n">
        <x:v>10</x:v>
      </x:c>
      <x:c r="E8" s="46" t="n">
        <x:v>9</x:v>
      </x:c>
      <x:c r="F8" s="46" t="n">
        <x:v>9</x:v>
      </x:c>
      <x:c r="G8" s="46" t="n">
        <x:v>6</x:v>
      </x:c>
      <x:c r="H8" s="46" t="str">
        <x:v>—</x:v>
      </x:c>
      <x:c r="I8" s="46" t="str">
        <x:v>—</x:v>
      </x:c>
    </x:row>
    <x:row r="9" ht="24" customHeight="1">
      <x:c r="A9" s="43" t="n">
        <x:v>46263</x:v>
      </x:c>
      <x:c r="B9" s="46" t="n">
        <x:v>949</x:v>
      </x:c>
      <x:c r="C9" s="46" t="n">
        <x:v>9</x:v>
      </x:c>
      <x:c r="D9" s="46" t="n">
        <x:v>14</x:v>
      </x:c>
      <x:c r="E9" s="46" t="n">
        <x:v>7</x:v>
      </x:c>
      <x:c r="F9" s="46" t="n">
        <x:v>6</x:v>
      </x:c>
      <x:c r="G9" s="46" t="str">
        <x:v>—</x:v>
      </x:c>
      <x:c r="H9" s="46" t="str">
        <x:v>—</x:v>
      </x:c>
      <x:c r="I9" s="46" t="str">
        <x:v>—</x:v>
      </x:c>
    </x:row>
    <x:row r="10" ht="24" customHeight="1">
      <x:c r="A10" s="43" t="n">
        <x:v>46264</x:v>
      </x:c>
      <x:c r="B10" s="46" t="n">
        <x:v>988</x:v>
      </x:c>
      <x:c r="C10" s="46" t="n">
        <x:v>7</x:v>
      </x:c>
      <x:c r="D10" s="46" t="n">
        <x:v>9</x:v>
      </x:c>
      <x:c r="E10" s="46" t="n">
        <x:v>6</x:v>
      </x:c>
      <x:c r="F10" s="46" t="str">
        <x:v>—</x:v>
      </x:c>
      <x:c r="G10" s="46" t="str">
        <x:v>—</x:v>
      </x:c>
      <x:c r="H10" s="46" t="str">
        <x:v>—</x:v>
      </x:c>
      <x:c r="I10" s="46" t="str">
        <x:v>—</x:v>
      </x:c>
    </x:row>
    <x:row r="11" ht="24" customHeight="1">
      <x:c r="A11" s="43" t="n">
        <x:v>46265</x:v>
      </x:c>
      <x:c r="B11" s="46" t="n">
        <x:v>1024</x:v>
      </x:c>
      <x:c r="C11" s="46" t="n">
        <x:v>15</x:v>
      </x:c>
      <x:c r="D11" s="46" t="n">
        <x:v>11</x:v>
      </x:c>
      <x:c r="E11" s="46" t="str">
        <x:v>—</x:v>
      </x:c>
      <x:c r="F11" s="46" t="str">
        <x:v>—</x:v>
      </x:c>
      <x:c r="G11" s="46" t="str">
        <x:v>—</x:v>
      </x:c>
      <x:c r="H11" s="46" t="str">
        <x:v>—</x:v>
      </x:c>
      <x:c r="I11" s="46" t="str">
        <x:v>—</x:v>
      </x:c>
    </x:row>
    <x:row r="12" ht="24" customHeight="1">
      <x:c r="A12" s="44" t="n">
        <x:v>46266</x:v>
      </x:c>
      <x:c r="B12" s="47" t="n">
        <x:v>956</x:v>
      </x:c>
      <x:c r="C12" s="47" t="n">
        <x:v>4</x:v>
      </x:c>
      <x:c r="D12" s="47" t="str">
        <x:v>—</x:v>
      </x:c>
      <x:c r="E12" s="47" t="str">
        <x:v>—</x:v>
      </x:c>
      <x:c r="F12" s="47" t="str">
        <x:v>—</x:v>
      </x:c>
      <x:c r="G12" s="47" t="str">
        <x:v>—</x:v>
      </x:c>
      <x:c r="H12" s="47" t="str">
        <x:v>—</x:v>
      </x:c>
      <x:c r="I12" s="47" t="str">
        <x:v>—</x:v>
      </x:c>
    </x:row>
    <x:row r="13" ht="24" customHeight="1">
      <x:c r="A13" s="49" t="str">
        <x:v>合计/留存人数</x:v>
      </x:c>
      <x:c r="B13" s="50" t="n">
        <x:f>SUM(B6:B12)</x:f>
        <x:v>6944</x:v>
      </x:c>
      <x:c r="C13" s="50" t="n">
        <x:f>SUM(C6:C12)</x:f>
        <x:v>56</x:v>
      </x:c>
      <x:c r="D13" s="50" t="n">
        <x:f>SUM(D6:D11)</x:f>
        <x:v>56</x:v>
      </x:c>
      <x:c r="E13" s="50" t="n">
        <x:f>SUM(E6:E10)</x:f>
        <x:v>37</x:v>
      </x:c>
      <x:c r="F13" s="50" t="n">
        <x:f>SUM(F6:F9)</x:f>
        <x:v>34</x:v>
      </x:c>
      <x:c r="G13" s="50" t="n">
        <x:f>SUM(G6:G8)</x:f>
        <x:v>23</x:v>
      </x:c>
      <x:c r="H13" s="50" t="n">
        <x:f>SUM(H6:H7)</x:f>
        <x:v>19</x:v>
      </x:c>
      <x:c r="I13" s="50" t="n">
        <x:f>SUM(I6:I6)</x:f>
        <x:v>6</x:v>
      </x:c>
    </x:row>
    <x:row r="14" ht="24" customHeight="1">
      <x:c r="A14" s="48" t="str">
        <x:v>成熟样本数</x:v>
      </x:c>
      <x:c r="B14" s="51"/>
      <x:c r="C14" s="51" t="n">
        <x:f>SUM(B6:B12)</x:f>
        <x:v>6944</x:v>
      </x:c>
      <x:c r="D14" s="51" t="n">
        <x:f>SUM(B6:B11)</x:f>
        <x:v>5988</x:v>
      </x:c>
      <x:c r="E14" s="51" t="n">
        <x:f>SUM(B6:B10)</x:f>
        <x:v>4964</x:v>
      </x:c>
      <x:c r="F14" s="51" t="n">
        <x:f>SUM(B6:B9)</x:f>
        <x:v>3976</x:v>
      </x:c>
      <x:c r="G14" s="51" t="n">
        <x:f>SUM(B6:B8)</x:f>
        <x:v>3027</x:v>
      </x:c>
      <x:c r="H14" s="51" t="n">
        <x:f>SUM(B6:B7)</x:f>
        <x:v>2004</x:v>
      </x:c>
      <x:c r="I14" s="51" t="n">
        <x:f>SUM(B6:B6)</x:f>
        <x:v>980</x:v>
      </x:c>
    </x:row>
    <x:row r="15" ht="24" customHeight="1">
      <x:c r="A15" s="48" t="str">
        <x:v>加权留存率</x:v>
      </x:c>
      <x:c r="B15" s="48"/>
      <x:c r="C15" s="52" t="n">
        <x:f>C13/C14</x:f>
        <x:v>0.008064516129032258</x:v>
      </x:c>
      <x:c r="D15" s="52" t="n">
        <x:f>D13/D14</x:f>
        <x:v>0.009352037408149633</x:v>
      </x:c>
      <x:c r="E15" s="52" t="n">
        <x:f>E13/E14</x:f>
        <x:v>0.007453666398066076</x:v>
      </x:c>
      <x:c r="F15" s="52" t="n">
        <x:f>F13/F14</x:f>
        <x:v>0.008551307847082495</x:v>
      </x:c>
      <x:c r="G15" s="52" t="n">
        <x:f>G13/G14</x:f>
        <x:v>0.007598282127518996</x:v>
      </x:c>
      <x:c r="H15" s="52" t="n">
        <x:f>H13/H14</x:f>
        <x:v>0.009481037924151697</x:v>
      </x:c>
      <x:c r="I15" s="52" t="n">
        <x:f>I13/I14</x:f>
        <x:v>0.006122448979591836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34" customHeight="1">
      <x:c r="A1" s="3" t="str">
        <x:v>异常与限制</x:v>
      </x:c>
      <x:c r="B1" s="3" t="str">
        <x:v>异常与限制</x:v>
      </x:c>
      <x:c r="C1" s="3" t="str">
        <x:v>异常与限制</x:v>
      </x:c>
      <x:c r="D1" s="3" t="str">
        <x:v>异常与限制</x:v>
      </x:c>
      <x:c r="E1" s="3" t="str">
        <x:v>异常与限制</x:v>
      </x:c>
    </x:row>
    <x:row r="2" ht="28" customHeight="1">
      <x:c r="A2" s="7" t="str">
        <x:v>此页明确标注哪些内容已处理、哪些能力源文件不支持，避免把缺失误当成 0 或正式能力。 </x:v>
      </x:c>
      <x:c r="B2" s="7" t="str">
        <x:v>此页明确标注哪些内容已处理、哪些能力源文件不支持，避免把缺失误当成 0 或正式能力。 </x:v>
      </x:c>
      <x:c r="C2" s="7" t="str">
        <x:v>此页明确标注哪些内容已处理、哪些能力源文件不支持，避免把缺失误当成 0 或正式能力。 </x:v>
      </x:c>
      <x:c r="D2" s="7" t="str">
        <x:v>此页明确标注哪些内容已处理、哪些能力源文件不支持，避免把缺失误当成 0 或正式能力。 </x:v>
      </x:c>
      <x:c r="E2" s="7" t="str">
        <x:v>此页明确标注哪些内容已处理、哪些能力源文件不支持，避免把缺失误当成 0 或正式能力。 </x:v>
      </x:c>
    </x:row>
    <x:row r="5" ht="34" customHeight="1">
      <x:c r="A5" s="34" t="str">
        <x:v>事项</x:v>
      </x:c>
      <x:c r="B5" s="34" t="str">
        <x:v>影响范围/数量</x:v>
      </x:c>
      <x:c r="C5" s="34" t="str">
        <x:v>状态</x:v>
      </x:c>
      <x:c r="D5" s="34" t="str">
        <x:v>本示例处理</x:v>
      </x:c>
      <x:c r="E5" s="34" t="str">
        <x:v>正式 YPBI 要求</x:v>
      </x:c>
    </x:row>
    <x:row r="6" ht="44" customHeight="1">
      <x:c r="A6" s="182" t="str">
        <x:v>尚未成熟被源表写成 0</x:v>
      </x:c>
      <x:c r="B6" s="182" t="str">
        <x:v>21 个 cohort×留存日单元格</x:v>
      </x:c>
      <x:c r="C6" s="183" t="str">
        <x:v>已纠正</x:v>
      </x:c>
      <x:c r="D6" s="182" t="str">
        <x:v>统一显示“—”，不进入公式</x:v>
      </x:c>
      <x:c r="E6" s="182" t="str">
        <x:v>必须由真实 dataAsOf 判断成熟度</x:v>
      </x:c>
    </x:row>
    <x:row r="7" ht="44" customHeight="1">
      <x:c r="A7" s="184" t="str">
        <x:v>成熟度截止日未显式提供</x:v>
      </x:c>
      <x:c r="B7" s="184" t="str">
        <x:v>全表</x:v>
      </x:c>
      <x:c r="C7" s="185" t="str">
        <x:v>推断</x:v>
      </x:c>
      <x:c r="D7" s="184" t="str">
        <x:v>根据 9/1 cohort 已有次日数据，示例采用 2026-09-02</x:v>
      </x:c>
      <x:c r="E7" s="184" t="str">
        <x:v>接口需返回数据截止时间</x:v>
      </x:c>
    </x:row>
    <x:row r="8" ht="44" customHeight="1">
      <x:c r="A8" s="184" t="str">
        <x:v>起始/回访事件与筛选缺失</x:v>
      </x:c>
      <x:c r="B8" s="184" t="str">
        <x:v>查询快照</x:v>
      </x:c>
      <x:c r="C8" s="185" t="str">
        <x:v>缺失</x:v>
      </x:c>
      <x:c r="D8" s="184" t="str">
        <x:v>不补写、不猜测</x:v>
      </x:c>
      <x:c r="E8" s="184" t="str">
        <x:v>导出必须包含真实配置快照</x:v>
      </x:c>
    </x:row>
    <x:row r="9" ht="44" customHeight="1">
      <x:c r="A9" s="184" t="str">
        <x:v>用户/事件原始流水</x:v>
      </x:c>
      <x:c r="B9" s="184" t="str">
        <x:v>明细层</x:v>
      </x:c>
      <x:c r="C9" s="185" t="str">
        <x:v>未提供</x:v>
      </x:c>
      <x:c r="D9" s="184" t="str">
        <x:v>不生成空表或模拟数据</x:v>
      </x:c>
      <x:c r="E9" s="184" t="str">
        <x:v>仅接口与权限均支持时提供</x:v>
      </x:c>
    </x:row>
    <x:row r="10" ht="44" customHeight="1">
      <x:c r="A10" s="186" t="str">
        <x:v>留存率数值类型</x:v>
      </x:c>
      <x:c r="B10" s="186" t="str">
        <x:v>全部比例</x:v>
      </x:c>
      <x:c r="C10" s="187" t="str">
        <x:v>已处理</x:v>
      </x:c>
      <x:c r="D10" s="186" t="str">
        <x:v>由人数矩阵公式计算并保存为数值</x:v>
      </x:c>
      <x:c r="E10" s="186" t="str">
        <x:v>不得导出为百分号文本</x:v>
      </x:c>
    </x:row>
  </x:sheetData>
  <x:mergeCells>
    <x:mergeCell ref="A1:E1"/>
    <x:mergeCell ref="A2:E2"/>
  </x:mergeCells>
  <x:pageMargins left="0.7" right="0.7" top="0.75" bottom="0.75" header="0.3" footer="0.3"/>
</x:worksheet>
</file>