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52cfdff14f40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导出说明" sheetId="1" r:id="R35429c3831464667"/>
    <x:sheet xmlns:r="http://schemas.openxmlformats.org/officeDocument/2006/relationships" name="01_关键结果" sheetId="2" r:id="R628e03716b204210"/>
    <x:sheet xmlns:r="http://schemas.openxmlformats.org/officeDocument/2006/relationships" name="02_分布聚合明细" sheetId="3" r:id="Rd370d343a6154806"/>
    <x:sheet xmlns:r="http://schemas.openxmlformats.org/officeDocument/2006/relationships" name="03_区间汇总" sheetId="4" r:id="R57728f5036fa4a9b"/>
    <x:sheet xmlns:r="http://schemas.openxmlformats.org/officeDocument/2006/relationships" name="04_异常与限制" sheetId="5" r:id="Rdf4572a147bf49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00"/>
    <x:numFmt numFmtId="203" formatCode="0.00%"/>
  </x:numFmts>
  <x:fonts count="15">
    <x:font>
      <x:sz val="11"/>
      <x:name val="Carlito"/>
    </x:font>
    <x:font>
      <x:b/>
      <x:sz val="18"/>
      <x:color rgb="FFFFFFFF"/>
      <x:name val="Carlito"/>
    </x:font>
    <x:font>
      <x:sz val="10"/>
      <x:color rgb="FF64748B"/>
      <x:name val="Carlito"/>
    </x:font>
    <x:font>
      <x:b/>
      <x:sz val="11"/>
      <x:color rgb="FF2563EB"/>
      <x:name val="Carlito"/>
    </x:font>
    <x:font>
      <x:b/>
      <x:sz val="11"/>
      <x:color rgb="FF334155"/>
      <x:name val="Carlito"/>
    </x:font>
    <x:font>
      <x:sz val="11"/>
      <x:color rgb="FF334155"/>
      <x:name val="Carlito"/>
    </x:font>
    <x:font>
      <x:b/>
      <x:sz val="11"/>
      <x:color rgb="FF0F172A"/>
      <x:name val="Carlito"/>
    </x:font>
    <x:font>
      <x:sz val="10"/>
      <x:color rgb="FF334155"/>
      <x:name val="Carlito"/>
    </x:font>
    <x:font>
      <x:b/>
      <x:sz val="11"/>
      <x:color rgb="FF0F766E"/>
      <x:name val="Carlito"/>
    </x:font>
    <x:font>
      <x:b/>
      <x:sz val="10"/>
      <x:color rgb="FF64748B"/>
      <x:name val="Carlito"/>
    </x:font>
    <x:font>
      <x:b/>
      <x:sz val="18"/>
      <x:color rgb="FF2563EB"/>
      <x:name val="Carlito"/>
    </x:font>
    <x:font>
      <x:b/>
      <x:sz val="18"/>
      <x:color rgb="FF0F766E"/>
      <x:name val="Carlito"/>
    </x:font>
    <x:font>
      <x:b/>
      <x:sz val="18"/>
      <x:color rgb="FFB45309"/>
      <x:name val="Carlito"/>
    </x:font>
    <x:font>
      <x:sz val="11"/>
      <x:color rgb="FFB45309"/>
      <x:name val="Carlito"/>
    </x:font>
    <x:font>
      <x:b/>
      <x:sz val="10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  <x:fill>
      <x:patternFill patternType="solid">
        <x:fgColor rgb="FFE2E8F0"/>
      </x:patternFill>
    </x:fill>
    <x:fill>
      <x:patternFill patternType="solid">
        <x:fgColor rgb="FFECFDF5"/>
      </x:patternFill>
    </x:fill>
    <x:fill>
      <x:patternFill patternType="solid">
        <x:fgColor rgb="FFFFF7ED"/>
      </x:patternFill>
    </x:fill>
  </x:fills>
  <x:borders count="13">
    <x:border/>
    <x:border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9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2" xfId="0" applyNumberFormat="1" applyFont="1" applyFill="1" applyBorder="1" applyAlignment="1">
      <x:alignment vertical="center"/>
    </x:xf>
    <x:xf numFmtId="0" fontId="4" fillId="4" borderId="3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5" xfId="0" applyNumberFormat="1" applyFont="1" applyFill="1" applyBorder="1"/>
    <x:xf numFmtId="0" fontId="6" fillId="5" borderId="5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horizontal="center" wrapText="1"/>
    </x:xf>
    <x:xf numFmtId="0" fontId="6" fillId="5" borderId="5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4" xfId="0" applyNumberFormat="1" applyFont="1" applyFill="1" applyBorder="1"/>
    <x:xf numFmtId="0" fontId="7" fillId="0" borderId="2" xfId="0" applyNumberFormat="1" applyFont="1" applyFill="1" applyBorder="1" applyAlignment="1">
      <x:alignment vertical="center"/>
    </x:xf>
    <x:xf numFmtId="0" fontId="7" fillId="0" borderId="3" xfId="0" applyNumberFormat="1" applyFont="1" applyFill="1" applyBorder="1" applyAlignment="1">
      <x:alignment vertical="center"/>
    </x:xf>
    <x:xf numFmtId="0" fontId="7" fillId="0" borderId="4" xfId="0" applyNumberFormat="1" applyFont="1" applyFill="1" applyBorder="1" applyAlignment="1">
      <x:alignment vertical="center"/>
    </x:xf>
    <x:xf numFmtId="200" fontId="7" fillId="0" borderId="2" xfId="0" applyNumberFormat="1" applyFont="1" applyFill="1" applyBorder="1" applyAlignment="1">
      <x:alignment vertical="center"/>
    </x:xf>
    <x:xf numFmtId="200" fontId="7" fillId="0" borderId="3" xfId="0" applyNumberFormat="1" applyFont="1" applyFill="1" applyBorder="1" applyAlignment="1">
      <x:alignment vertical="center"/>
    </x:xf>
    <x:xf numFmtId="200" fontId="7" fillId="0" borderId="4" xfId="0" applyNumberFormat="1" applyFont="1" applyFill="1" applyBorder="1" applyAlignment="1">
      <x:alignment vertical="center"/>
    </x:xf>
    <x:xf numFmtId="201" fontId="7" fillId="0" borderId="2" xfId="0" applyNumberFormat="1" applyFont="1" applyFill="1" applyBorder="1" applyAlignment="1">
      <x:alignment vertical="center"/>
    </x:xf>
    <x:xf numFmtId="201" fontId="7" fillId="0" borderId="3" xfId="0" applyNumberFormat="1" applyFont="1" applyFill="1" applyBorder="1" applyAlignment="1">
      <x:alignment vertical="center"/>
    </x:xf>
    <x:xf numFmtId="201" fontId="7" fillId="0" borderId="4" xfId="0" applyNumberFormat="1" applyFont="1" applyFill="1" applyBorder="1" applyAlignment="1">
      <x:alignment vertical="center"/>
    </x:xf>
    <x:xf numFmtId="202" fontId="7" fillId="0" borderId="2" xfId="0" applyNumberFormat="1" applyFont="1" applyFill="1" applyBorder="1" applyAlignment="1">
      <x:alignment vertical="center"/>
    </x:xf>
    <x:xf numFmtId="202" fontId="7" fillId="0" borderId="3" xfId="0" applyNumberFormat="1" applyFont="1" applyFill="1" applyBorder="1" applyAlignment="1">
      <x:alignment vertical="center"/>
    </x:xf>
    <x:xf numFmtId="202" fontId="7" fillId="0" borderId="4" xfId="0" applyNumberFormat="1" applyFont="1" applyFill="1" applyBorder="1" applyAlignment="1">
      <x:alignment vertical="center"/>
    </x:xf>
    <x:xf numFmtId="203" fontId="7" fillId="0" borderId="2" xfId="0" applyNumberFormat="1" applyFont="1" applyFill="1" applyBorder="1" applyAlignment="1">
      <x:alignment vertical="center"/>
    </x:xf>
    <x:xf numFmtId="203" fontId="7" fillId="0" borderId="3" xfId="0" applyNumberFormat="1" applyFont="1" applyFill="1" applyBorder="1" applyAlignment="1">
      <x:alignment vertical="center"/>
    </x:xf>
    <x:xf numFmtId="203" fontId="7" fillId="0" borderId="4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5" xfId="0" applyNumberFormat="1" applyFont="1" applyFill="1" applyBorder="1"/>
    <x:xf numFmtId="201" fontId="8" fillId="6" borderId="5" xfId="0" applyNumberFormat="1" applyFont="1" applyFill="1" applyBorder="1"/>
    <x:xf numFmtId="202" fontId="8" fillId="6" borderId="5" xfId="0" applyNumberFormat="1" applyFont="1" applyFill="1" applyBorder="1"/>
    <x:xf numFmtId="203" fontId="8" fillId="6" borderId="5" xfId="0" applyNumberFormat="1" applyFont="1" applyFill="1" applyBorder="1"/>
    <x:xf numFmtId="0" fontId="6" fillId="4" borderId="0" xfId="0" applyNumberFormat="1" applyFont="1" applyFill="1" applyBorder="1"/>
    <x:xf numFmtId="0" fontId="6" fillId="4" borderId="6" xfId="0" applyNumberFormat="1" applyFont="1" applyFill="1" applyBorder="1"/>
    <x:xf numFmtId="201" fontId="6" fillId="4" borderId="6" xfId="0" applyNumberFormat="1" applyFont="1" applyFill="1" applyBorder="1"/>
    <x:xf numFmtId="203" fontId="6" fillId="4" borderId="6" xfId="0" applyNumberFormat="1" applyFont="1" applyFill="1" applyBorder="1"/>
    <x:xf numFmtId="0" fontId="9" fillId="3" borderId="0" xfId="0" applyNumberFormat="1" applyFont="1" applyFill="1" applyBorder="1"/>
    <x:xf numFmtId="0" fontId="9" fillId="3" borderId="7" xfId="0" applyNumberFormat="1" applyFont="1" applyFill="1" applyBorder="1"/>
    <x:xf numFmtId="0" fontId="9" fillId="3" borderId="6" xfId="0" applyNumberFormat="1" applyFont="1" applyFill="1" applyBorder="1"/>
    <x:xf numFmtId="0" fontId="9" fillId="3" borderId="8" xfId="0" applyNumberFormat="1" applyFont="1" applyFill="1" applyBorder="1"/>
    <x:xf numFmtId="0" fontId="9" fillId="3" borderId="7" xfId="0" applyNumberFormat="1" applyFont="1" applyFill="1" applyBorder="1" applyAlignment="1">
      <x:alignment horizontal="center"/>
    </x:xf>
    <x:xf numFmtId="0" fontId="9" fillId="3" borderId="6" xfId="0" applyNumberFormat="1" applyFont="1" applyFill="1" applyBorder="1" applyAlignment="1">
      <x:alignment horizontal="center"/>
    </x:xf>
    <x:xf numFmtId="0" fontId="9" fillId="3" borderId="8" xfId="0" applyNumberFormat="1" applyFont="1" applyFill="1" applyBorder="1" applyAlignment="1">
      <x:alignment horizontal="center"/>
    </x:xf>
    <x:xf numFmtId="0" fontId="9" fillId="3" borderId="7" xfId="0" applyNumberFormat="1" applyFont="1" applyFill="1" applyBorder="1" applyAlignment="1">
      <x:alignment horizontal="center" vertical="center"/>
    </x:xf>
    <x:xf numFmtId="0" fontId="9" fillId="3" borderId="6" xfId="0" applyNumberFormat="1" applyFont="1" applyFill="1" applyBorder="1" applyAlignment="1">
      <x:alignment horizontal="center" vertical="center"/>
    </x:xf>
    <x:xf numFmtId="0" fontId="9" fillId="3" borderId="8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/>
    <x:xf numFmtId="0" fontId="10" fillId="3" borderId="9" xfId="0" applyNumberFormat="1" applyFont="1" applyFill="1" applyBorder="1"/>
    <x:xf numFmtId="0" fontId="10" fillId="3" borderId="10" xfId="0" applyNumberFormat="1" applyFont="1" applyFill="1" applyBorder="1"/>
    <x:xf numFmtId="0" fontId="10" fillId="3" borderId="11" xfId="0" applyNumberFormat="1" applyFont="1" applyFill="1" applyBorder="1"/>
    <x:xf numFmtId="0" fontId="10" fillId="3" borderId="1" xfId="0" applyNumberFormat="1" applyFont="1" applyFill="1" applyBorder="1"/>
    <x:xf numFmtId="0" fontId="10" fillId="3" borderId="12" xfId="0" applyNumberFormat="1" applyFont="1" applyFill="1" applyBorder="1"/>
    <x:xf numFmtId="0" fontId="10" fillId="3" borderId="9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 applyAlignment="1">
      <x:alignment horizontal="center"/>
    </x:xf>
    <x:xf numFmtId="0" fontId="10" fillId="3" borderId="10" xfId="0" applyNumberFormat="1" applyFont="1" applyFill="1" applyBorder="1" applyAlignment="1">
      <x:alignment horizontal="center"/>
    </x:xf>
    <x:xf numFmtId="0" fontId="10" fillId="3" borderId="11" xfId="0" applyNumberFormat="1" applyFont="1" applyFill="1" applyBorder="1" applyAlignment="1">
      <x:alignment horizontal="center"/>
    </x:xf>
    <x:xf numFmtId="0" fontId="10" fillId="3" borderId="1" xfId="0" applyNumberFormat="1" applyFont="1" applyFill="1" applyBorder="1" applyAlignment="1">
      <x:alignment horizontal="center"/>
    </x:xf>
    <x:xf numFmtId="0" fontId="10" fillId="3" borderId="12" xfId="0" applyNumberFormat="1" applyFont="1" applyFill="1" applyBorder="1" applyAlignment="1">
      <x:alignment horizontal="center"/>
    </x:xf>
    <x:xf numFmtId="0" fontId="10" fillId="3" borderId="9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 applyAlignment="1">
      <x:alignment horizontal="center" vertical="center"/>
    </x:xf>
    <x:xf numFmtId="0" fontId="10" fillId="3" borderId="10" xfId="0" applyNumberFormat="1" applyFont="1" applyFill="1" applyBorder="1" applyAlignment="1">
      <x:alignment horizontal="center" vertical="center"/>
    </x:xf>
    <x:xf numFmtId="0" fontId="10" fillId="3" borderId="11" xfId="0" applyNumberFormat="1" applyFont="1" applyFill="1" applyBorder="1" applyAlignment="1">
      <x:alignment horizontal="center" vertical="center"/>
    </x:xf>
    <x:xf numFmtId="0" fontId="10" fillId="3" borderId="1" xfId="0" applyNumberFormat="1" applyFont="1" applyFill="1" applyBorder="1" applyAlignment="1">
      <x:alignment horizontal="center" vertical="center"/>
    </x:xf>
    <x:xf numFmtId="0" fontId="10" fillId="3" borderId="12" xfId="0" applyNumberFormat="1" applyFont="1" applyFill="1" applyBorder="1" applyAlignment="1">
      <x:alignment horizontal="center" vertical="center"/>
    </x:xf>
    <x:xf numFmtId="201" fontId="10" fillId="3" borderId="9" xfId="0" applyNumberFormat="1" applyFont="1" applyFill="1" applyBorder="1" applyAlignment="1">
      <x:alignment horizontal="center" vertical="center"/>
    </x:xf>
    <x:xf numFmtId="201" fontId="10" fillId="3" borderId="0" xfId="0" applyNumberFormat="1" applyFont="1" applyFill="1" applyBorder="1" applyAlignment="1">
      <x:alignment horizontal="center" vertical="center"/>
    </x:xf>
    <x:xf numFmtId="201" fontId="10" fillId="3" borderId="10" xfId="0" applyNumberFormat="1" applyFont="1" applyFill="1" applyBorder="1" applyAlignment="1">
      <x:alignment horizontal="center" vertical="center"/>
    </x:xf>
    <x:xf numFmtId="201" fontId="10" fillId="3" borderId="11" xfId="0" applyNumberFormat="1" applyFont="1" applyFill="1" applyBorder="1" applyAlignment="1">
      <x:alignment horizontal="center" vertical="center"/>
    </x:xf>
    <x:xf numFmtId="201" fontId="10" fillId="3" borderId="1" xfId="0" applyNumberFormat="1" applyFont="1" applyFill="1" applyBorder="1" applyAlignment="1">
      <x:alignment horizontal="center" vertical="center"/>
    </x:xf>
    <x:xf numFmtId="201" fontId="10" fillId="3" borderId="12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7" xfId="0" applyNumberFormat="1" applyFont="1" applyFill="1" applyBorder="1"/>
    <x:xf numFmtId="0" fontId="9" fillId="6" borderId="6" xfId="0" applyNumberFormat="1" applyFont="1" applyFill="1" applyBorder="1"/>
    <x:xf numFmtId="0" fontId="9" fillId="6" borderId="8" xfId="0" applyNumberFormat="1" applyFont="1" applyFill="1" applyBorder="1"/>
    <x:xf numFmtId="0" fontId="9" fillId="6" borderId="7" xfId="0" applyNumberFormat="1" applyFont="1" applyFill="1" applyBorder="1" applyAlignment="1">
      <x:alignment horizontal="center"/>
    </x:xf>
    <x:xf numFmtId="0" fontId="9" fillId="6" borderId="6" xfId="0" applyNumberFormat="1" applyFont="1" applyFill="1" applyBorder="1" applyAlignment="1">
      <x:alignment horizontal="center"/>
    </x:xf>
    <x:xf numFmtId="0" fontId="9" fillId="6" borderId="8" xfId="0" applyNumberFormat="1" applyFont="1" applyFill="1" applyBorder="1" applyAlignment="1">
      <x:alignment horizontal="center"/>
    </x:xf>
    <x:xf numFmtId="0" fontId="9" fillId="6" borderId="7" xfId="0" applyNumberFormat="1" applyFont="1" applyFill="1" applyBorder="1" applyAlignment="1">
      <x:alignment horizontal="center" vertical="center"/>
    </x:xf>
    <x:xf numFmtId="0" fontId="9" fillId="6" borderId="6" xfId="0" applyNumberFormat="1" applyFont="1" applyFill="1" applyBorder="1" applyAlignment="1">
      <x:alignment horizontal="center" vertical="center"/>
    </x:xf>
    <x:xf numFmtId="0" fontId="9" fillId="6" borderId="8" xfId="0" applyNumberFormat="1" applyFont="1" applyFill="1" applyBorder="1" applyAlignment="1">
      <x:alignment horizontal="center" vertical="center"/>
    </x:xf>
    <x:xf numFmtId="0" fontId="11" fillId="6" borderId="0" xfId="0" applyNumberFormat="1" applyFont="1" applyFill="1" applyBorder="1"/>
    <x:xf numFmtId="0" fontId="11" fillId="6" borderId="9" xfId="0" applyNumberFormat="1" applyFont="1" applyFill="1" applyBorder="1"/>
    <x:xf numFmtId="0" fontId="11" fillId="6" borderId="10" xfId="0" applyNumberFormat="1" applyFont="1" applyFill="1" applyBorder="1"/>
    <x:xf numFmtId="0" fontId="11" fillId="6" borderId="11" xfId="0" applyNumberFormat="1" applyFont="1" applyFill="1" applyBorder="1"/>
    <x:xf numFmtId="0" fontId="11" fillId="6" borderId="1" xfId="0" applyNumberFormat="1" applyFont="1" applyFill="1" applyBorder="1"/>
    <x:xf numFmtId="0" fontId="11" fillId="6" borderId="12" xfId="0" applyNumberFormat="1" applyFont="1" applyFill="1" applyBorder="1"/>
    <x:xf numFmtId="0" fontId="11" fillId="6" borderId="9" xfId="0" applyNumberFormat="1" applyFont="1" applyFill="1" applyBorder="1" applyAlignment="1">
      <x:alignment horizontal="center"/>
    </x:xf>
    <x:xf numFmtId="0" fontId="11" fillId="6" borderId="0" xfId="0" applyNumberFormat="1" applyFont="1" applyFill="1" applyBorder="1" applyAlignment="1">
      <x:alignment horizontal="center"/>
    </x:xf>
    <x:xf numFmtId="0" fontId="11" fillId="6" borderId="10" xfId="0" applyNumberFormat="1" applyFont="1" applyFill="1" applyBorder="1" applyAlignment="1">
      <x:alignment horizontal="center"/>
    </x:xf>
    <x:xf numFmtId="0" fontId="11" fillId="6" borderId="11" xfId="0" applyNumberFormat="1" applyFont="1" applyFill="1" applyBorder="1" applyAlignment="1">
      <x:alignment horizontal="center"/>
    </x:xf>
    <x:xf numFmtId="0" fontId="11" fillId="6" borderId="1" xfId="0" applyNumberFormat="1" applyFont="1" applyFill="1" applyBorder="1" applyAlignment="1">
      <x:alignment horizontal="center"/>
    </x:xf>
    <x:xf numFmtId="0" fontId="11" fillId="6" borderId="12" xfId="0" applyNumberFormat="1" applyFont="1" applyFill="1" applyBorder="1" applyAlignment="1">
      <x:alignment horizontal="center"/>
    </x:xf>
    <x:xf numFmtId="0" fontId="11" fillId="6" borderId="9" xfId="0" applyNumberFormat="1" applyFont="1" applyFill="1" applyBorder="1" applyAlignment="1">
      <x:alignment horizontal="center" vertical="center"/>
    </x:xf>
    <x:xf numFmtId="0" fontId="11" fillId="6" borderId="0" xfId="0" applyNumberFormat="1" applyFont="1" applyFill="1" applyBorder="1" applyAlignment="1">
      <x:alignment horizontal="center" vertical="center"/>
    </x:xf>
    <x:xf numFmtId="0" fontId="11" fillId="6" borderId="10" xfId="0" applyNumberFormat="1" applyFont="1" applyFill="1" applyBorder="1" applyAlignment="1">
      <x:alignment horizontal="center" vertical="center"/>
    </x:xf>
    <x:xf numFmtId="0" fontId="11" fillId="6" borderId="11" xfId="0" applyNumberFormat="1" applyFont="1" applyFill="1" applyBorder="1" applyAlignment="1">
      <x:alignment horizontal="center" vertical="center"/>
    </x:xf>
    <x:xf numFmtId="0" fontId="11" fillId="6" borderId="1" xfId="0" applyNumberFormat="1" applyFont="1" applyFill="1" applyBorder="1" applyAlignment="1">
      <x:alignment horizontal="center" vertical="center"/>
    </x:xf>
    <x:xf numFmtId="0" fontId="11" fillId="6" borderId="12" xfId="0" applyNumberFormat="1" applyFont="1" applyFill="1" applyBorder="1" applyAlignment="1">
      <x:alignment horizontal="center" vertical="center"/>
    </x:xf>
    <x:xf numFmtId="202" fontId="11" fillId="6" borderId="9" xfId="0" applyNumberFormat="1" applyFont="1" applyFill="1" applyBorder="1" applyAlignment="1">
      <x:alignment horizontal="center" vertical="center"/>
    </x:xf>
    <x:xf numFmtId="202" fontId="11" fillId="6" borderId="0" xfId="0" applyNumberFormat="1" applyFont="1" applyFill="1" applyBorder="1" applyAlignment="1">
      <x:alignment horizontal="center" vertical="center"/>
    </x:xf>
    <x:xf numFmtId="202" fontId="11" fillId="6" borderId="10" xfId="0" applyNumberFormat="1" applyFont="1" applyFill="1" applyBorder="1" applyAlignment="1">
      <x:alignment horizontal="center" vertical="center"/>
    </x:xf>
    <x:xf numFmtId="202" fontId="11" fillId="6" borderId="11" xfId="0" applyNumberFormat="1" applyFont="1" applyFill="1" applyBorder="1" applyAlignment="1">
      <x:alignment horizontal="center" vertical="center"/>
    </x:xf>
    <x:xf numFmtId="202" fontId="11" fillId="6" borderId="1" xfId="0" applyNumberFormat="1" applyFont="1" applyFill="1" applyBorder="1" applyAlignment="1">
      <x:alignment horizontal="center" vertical="center"/>
    </x:xf>
    <x:xf numFmtId="202" fontId="11" fillId="6" borderId="12" xfId="0" applyNumberFormat="1" applyFont="1" applyFill="1" applyBorder="1" applyAlignment="1">
      <x:alignment horizontal="center" vertical="center"/>
    </x:xf>
    <x:xf numFmtId="203" fontId="10" fillId="3" borderId="9" xfId="0" applyNumberFormat="1" applyFont="1" applyFill="1" applyBorder="1" applyAlignment="1">
      <x:alignment horizontal="center" vertical="center"/>
    </x:xf>
    <x:xf numFmtId="203" fontId="10" fillId="3" borderId="0" xfId="0" applyNumberFormat="1" applyFont="1" applyFill="1" applyBorder="1" applyAlignment="1">
      <x:alignment horizontal="center" vertical="center"/>
    </x:xf>
    <x:xf numFmtId="203" fontId="10" fillId="3" borderId="10" xfId="0" applyNumberFormat="1" applyFont="1" applyFill="1" applyBorder="1" applyAlignment="1">
      <x:alignment horizontal="center" vertical="center"/>
    </x:xf>
    <x:xf numFmtId="203" fontId="10" fillId="3" borderId="11" xfId="0" applyNumberFormat="1" applyFont="1" applyFill="1" applyBorder="1" applyAlignment="1">
      <x:alignment horizontal="center" vertical="center"/>
    </x:xf>
    <x:xf numFmtId="203" fontId="10" fillId="3" borderId="1" xfId="0" applyNumberFormat="1" applyFont="1" applyFill="1" applyBorder="1" applyAlignment="1">
      <x:alignment horizontal="center" vertical="center"/>
    </x:xf>
    <x:xf numFmtId="203" fontId="10" fillId="3" borderId="12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7" xfId="0" applyNumberFormat="1" applyFont="1" applyFill="1" applyBorder="1"/>
    <x:xf numFmtId="0" fontId="9" fillId="7" borderId="6" xfId="0" applyNumberFormat="1" applyFont="1" applyFill="1" applyBorder="1"/>
    <x:xf numFmtId="0" fontId="9" fillId="7" borderId="8" xfId="0" applyNumberFormat="1" applyFont="1" applyFill="1" applyBorder="1"/>
    <x:xf numFmtId="0" fontId="9" fillId="7" borderId="7" xfId="0" applyNumberFormat="1" applyFont="1" applyFill="1" applyBorder="1" applyAlignment="1">
      <x:alignment horizontal="center"/>
    </x:xf>
    <x:xf numFmtId="0" fontId="9" fillId="7" borderId="6" xfId="0" applyNumberFormat="1" applyFont="1" applyFill="1" applyBorder="1" applyAlignment="1">
      <x:alignment horizontal="center"/>
    </x:xf>
    <x:xf numFmtId="0" fontId="9" fillId="7" borderId="8" xfId="0" applyNumberFormat="1" applyFont="1" applyFill="1" applyBorder="1" applyAlignment="1">
      <x:alignment horizontal="center"/>
    </x:xf>
    <x:xf numFmtId="0" fontId="9" fillId="7" borderId="7" xfId="0" applyNumberFormat="1" applyFont="1" applyFill="1" applyBorder="1" applyAlignment="1">
      <x:alignment horizontal="center" vertical="center"/>
    </x:xf>
    <x:xf numFmtId="0" fontId="9" fillId="7" borderId="6" xfId="0" applyNumberFormat="1" applyFont="1" applyFill="1" applyBorder="1" applyAlignment="1">
      <x:alignment horizontal="center" vertical="center"/>
    </x:xf>
    <x:xf numFmtId="0" fontId="9" fillId="7" borderId="8" xfId="0" applyNumberFormat="1" applyFont="1" applyFill="1" applyBorder="1" applyAlignment="1">
      <x:alignment horizontal="center" vertical="center"/>
    </x:xf>
    <x:xf numFmtId="0" fontId="12" fillId="7" borderId="0" xfId="0" applyNumberFormat="1" applyFont="1" applyFill="1" applyBorder="1"/>
    <x:xf numFmtId="0" fontId="12" fillId="7" borderId="9" xfId="0" applyNumberFormat="1" applyFont="1" applyFill="1" applyBorder="1"/>
    <x:xf numFmtId="0" fontId="12" fillId="7" borderId="10" xfId="0" applyNumberFormat="1" applyFont="1" applyFill="1" applyBorder="1"/>
    <x:xf numFmtId="0" fontId="12" fillId="7" borderId="11" xfId="0" applyNumberFormat="1" applyFont="1" applyFill="1" applyBorder="1"/>
    <x:xf numFmtId="0" fontId="12" fillId="7" borderId="1" xfId="0" applyNumberFormat="1" applyFont="1" applyFill="1" applyBorder="1"/>
    <x:xf numFmtId="0" fontId="12" fillId="7" borderId="12" xfId="0" applyNumberFormat="1" applyFont="1" applyFill="1" applyBorder="1"/>
    <x:xf numFmtId="0" fontId="12" fillId="7" borderId="9" xfId="0" applyNumberFormat="1" applyFont="1" applyFill="1" applyBorder="1" applyAlignment="1">
      <x:alignment horizontal="center"/>
    </x:xf>
    <x:xf numFmtId="0" fontId="12" fillId="7" borderId="0" xfId="0" applyNumberFormat="1" applyFont="1" applyFill="1" applyBorder="1" applyAlignment="1">
      <x:alignment horizontal="center"/>
    </x:xf>
    <x:xf numFmtId="0" fontId="12" fillId="7" borderId="10" xfId="0" applyNumberFormat="1" applyFont="1" applyFill="1" applyBorder="1" applyAlignment="1">
      <x:alignment horizontal="center"/>
    </x:xf>
    <x:xf numFmtId="0" fontId="12" fillId="7" borderId="11" xfId="0" applyNumberFormat="1" applyFont="1" applyFill="1" applyBorder="1" applyAlignment="1">
      <x:alignment horizontal="center"/>
    </x:xf>
    <x:xf numFmtId="0" fontId="12" fillId="7" borderId="1" xfId="0" applyNumberFormat="1" applyFont="1" applyFill="1" applyBorder="1" applyAlignment="1">
      <x:alignment horizontal="center"/>
    </x:xf>
    <x:xf numFmtId="0" fontId="12" fillId="7" borderId="12" xfId="0" applyNumberFormat="1" applyFont="1" applyFill="1" applyBorder="1" applyAlignment="1">
      <x:alignment horizontal="center"/>
    </x:xf>
    <x:xf numFmtId="0" fontId="12" fillId="7" borderId="9" xfId="0" applyNumberFormat="1" applyFont="1" applyFill="1" applyBorder="1" applyAlignment="1">
      <x:alignment horizontal="center" vertical="center"/>
    </x:xf>
    <x:xf numFmtId="0" fontId="12" fillId="7" borderId="0" xfId="0" applyNumberFormat="1" applyFont="1" applyFill="1" applyBorder="1" applyAlignment="1">
      <x:alignment horizontal="center" vertical="center"/>
    </x:xf>
    <x:xf numFmtId="0" fontId="12" fillId="7" borderId="10" xfId="0" applyNumberFormat="1" applyFont="1" applyFill="1" applyBorder="1" applyAlignment="1">
      <x:alignment horizontal="center" vertical="center"/>
    </x:xf>
    <x:xf numFmtId="0" fontId="12" fillId="7" borderId="11" xfId="0" applyNumberFormat="1" applyFont="1" applyFill="1" applyBorder="1" applyAlignment="1">
      <x:alignment horizontal="center" vertical="center"/>
    </x:xf>
    <x:xf numFmtId="0" fontId="12" fillId="7" borderId="1" xfId="0" applyNumberFormat="1" applyFont="1" applyFill="1" applyBorder="1" applyAlignment="1">
      <x:alignment horizontal="center" vertical="center"/>
    </x:xf>
    <x:xf numFmtId="0" fontId="12" fillId="7" borderId="12" xfId="0" applyNumberFormat="1" applyFont="1" applyFill="1" applyBorder="1" applyAlignment="1">
      <x:alignment horizontal="center" vertical="center"/>
    </x:xf>
    <x:xf numFmtId="203" fontId="12" fillId="7" borderId="9" xfId="0" applyNumberFormat="1" applyFont="1" applyFill="1" applyBorder="1" applyAlignment="1">
      <x:alignment horizontal="center" vertical="center"/>
    </x:xf>
    <x:xf numFmtId="203" fontId="12" fillId="7" borderId="0" xfId="0" applyNumberFormat="1" applyFont="1" applyFill="1" applyBorder="1" applyAlignment="1">
      <x:alignment horizontal="center" vertical="center"/>
    </x:xf>
    <x:xf numFmtId="203" fontId="12" fillId="7" borderId="10" xfId="0" applyNumberFormat="1" applyFont="1" applyFill="1" applyBorder="1" applyAlignment="1">
      <x:alignment horizontal="center" vertical="center"/>
    </x:xf>
    <x:xf numFmtId="203" fontId="12" fillId="7" borderId="11" xfId="0" applyNumberFormat="1" applyFont="1" applyFill="1" applyBorder="1" applyAlignment="1">
      <x:alignment horizontal="center" vertical="center"/>
    </x:xf>
    <x:xf numFmtId="203" fontId="12" fillId="7" borderId="1" xfId="0" applyNumberFormat="1" applyFont="1" applyFill="1" applyBorder="1" applyAlignment="1">
      <x:alignment horizontal="center" vertical="center"/>
    </x:xf>
    <x:xf numFmtId="203" fontId="12" fillId="7" borderId="12" xfId="0" applyNumberFormat="1" applyFont="1" applyFill="1" applyBorder="1" applyAlignment="1">
      <x:alignment horizontal="center" vertical="center"/>
    </x:xf>
    <x:xf numFmtId="0" fontId="13" fillId="7" borderId="0" xfId="0" applyNumberFormat="1" applyFont="1" applyFill="1" applyBorder="1"/>
    <x:xf numFmtId="0" fontId="13" fillId="7" borderId="0" xfId="0" applyNumberFormat="1" applyFont="1" applyFill="1" applyBorder="1" applyAlignment="1">
      <x:alignment wrapText="1"/>
    </x:xf>
    <x:xf numFmtId="0" fontId="13" fillId="7" borderId="0" xfId="0" applyNumberFormat="1" applyFont="1" applyFill="1" applyBorder="1" applyAlignment="1">
      <x:alignment vertical="center" wrapText="1"/>
    </x:xf>
    <x:xf numFmtId="0" fontId="7" fillId="4" borderId="2" xfId="0" applyNumberFormat="1" applyFont="1" applyFill="1" applyBorder="1" applyAlignment="1">
      <x:alignment vertical="center"/>
    </x:xf>
    <x:xf numFmtId="0" fontId="7" fillId="4" borderId="3" xfId="0" applyNumberFormat="1" applyFont="1" applyFill="1" applyBorder="1" applyAlignment="1">
      <x:alignment vertical="center"/>
    </x:xf>
    <x:xf numFmtId="0" fontId="7" fillId="4" borderId="4" xfId="0" applyNumberFormat="1" applyFont="1" applyFill="1" applyBorder="1" applyAlignment="1">
      <x:alignment vertical="center"/>
    </x:xf>
    <x:xf numFmtId="0" fontId="14" fillId="4" borderId="2" xfId="0" applyNumberFormat="1" applyFont="1" applyFill="1" applyBorder="1" applyAlignment="1">
      <x:alignment vertical="center"/>
    </x:xf>
    <x:xf numFmtId="0" fontId="14" fillId="4" borderId="3" xfId="0" applyNumberFormat="1" applyFont="1" applyFill="1" applyBorder="1" applyAlignment="1">
      <x:alignment vertical="center"/>
    </x:xf>
    <x:xf numFmtId="0" fontId="14" fillId="4" borderId="4" xfId="0" applyNumberFormat="1" applyFont="1" applyFill="1" applyBorder="1" applyAlignment="1">
      <x:alignment vertical="center"/>
    </x:xf>
    <x:xf numFmtId="0" fontId="14" fillId="4" borderId="2" xfId="0" applyNumberFormat="1" applyFont="1" applyFill="1" applyBorder="1" applyAlignment="1">
      <x:alignment horizontal="center" vertical="center"/>
    </x:xf>
    <x:xf numFmtId="0" fontId="14" fillId="4" borderId="3" xfId="0" applyNumberFormat="1" applyFont="1" applyFill="1" applyBorder="1" applyAlignment="1">
      <x:alignment horizontal="center" vertical="center"/>
    </x:xf>
    <x:xf numFmtId="0" fontId="14" fillId="4" borderId="4" xfId="0" applyNumberFormat="1" applyFont="1" applyFill="1" applyBorder="1" applyAlignment="1">
      <x:alignment horizontal="center" vertical="center"/>
    </x:xf>
    <x:xf numFmtId="0" fontId="7" fillId="0" borderId="2" xfId="0" applyNumberFormat="1" applyFont="1" applyFill="1" applyBorder="1" applyAlignment="1">
      <x:alignment vertical="center" wrapText="1"/>
    </x:xf>
    <x:xf numFmtId="0" fontId="14" fillId="4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14" fillId="4" borderId="3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vertical="center" wrapText="1"/>
    </x:xf>
    <x:xf numFmtId="0" fontId="14" fillId="4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563ea1b16448aa" /><Relationship Type="http://schemas.openxmlformats.org/officeDocument/2006/relationships/theme" Target="/xl/theme/theme1.xml" Id="Rc87f11508f674179" /><Relationship Type="http://schemas.openxmlformats.org/officeDocument/2006/relationships/sharedStrings" Target="/xl/sharedStrings.xml" Id="Rfb2243db84f345dd" /><Relationship Type="http://schemas.openxmlformats.org/officeDocument/2006/relationships/worksheet" Target="/xl/worksheets/sheet1.xml" Id="R35429c3831464667" /><Relationship Type="http://schemas.openxmlformats.org/officeDocument/2006/relationships/worksheet" Target="/xl/worksheets/sheet2.xml" Id="R628e03716b204210" /><Relationship Type="http://schemas.openxmlformats.org/officeDocument/2006/relationships/worksheet" Target="/xl/worksheets/sheet3.xml" Id="Rd370d343a6154806" /><Relationship Type="http://schemas.openxmlformats.org/officeDocument/2006/relationships/worksheet" Target="/xl/worksheets/sheet4.xml" Id="R57728f5036fa4a9b" /><Relationship Type="http://schemas.openxmlformats.org/officeDocument/2006/relationships/worksheet" Target="/xl/worksheets/sheet5.xml" Id="Rdf4572a147bf490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f0106001706442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整体次数分布（用户日占比）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整体占比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'01_关键结果'!$A$11:$A$13</c:f>
              <c:strCache>
                <c:ptCount val="0"/>
              </c:strCache>
            </c:strRef>
          </c:cat>
          <c:val>
            <c:numRef>
              <c:f>'01_关键结果'!$C$11:$C$13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8</xdr:row>
      <xdr:rowOff>0</xdr:rowOff>
    </xdr:from>
    <xdr:to>
      <xdr:col>12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0106001706442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0c6e01b6da04d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3" t="str">
        <x:v>YPBI｜分布分析导出示例</x:v>
      </x:c>
      <x:c r="B1" s="3" t="str">
        <x:v>YPBI｜分布分析导出示例</x:v>
      </x:c>
      <x:c r="C1" s="3" t="str">
        <x:v>YPBI｜分布分析导出示例</x:v>
      </x:c>
      <x:c r="D1" s="3" t="str">
        <x:v>YPBI｜分布分析导出示例</x:v>
      </x:c>
      <x:c r="E1" s="3" t="str">
        <x:v>YPBI｜分布分析导出示例</x:v>
      </x:c>
      <x:c r="F1" s="3" t="str">
        <x:v>YPBI｜分布分析导出示例</x:v>
      </x:c>
      <x:c r="G1" s="3" t="str">
        <x:v>YPBI｜分布分析导出示例</x:v>
      </x:c>
      <x:c r="H1" s="3" t="str">
        <x:v>YPBI｜分布分析导出示例</x:v>
      </x:c>
    </x:row>
    <x:row r="2" ht="28" customHeight="1">
      <x:c r="A2" s="7" t="str">
        <x:v>保留每日聚合明细，并额外加工整体区间分布与加权人均值；不包含用户级原始流水。示例完全基于神策已下载 CSV。 </x:v>
      </x:c>
      <x:c r="B2" s="7" t="str">
        <x:v>保留每日聚合明细，并额外加工整体区间分布与加权人均值；不包含用户级原始流水。示例完全基于神策已下载 CSV。 </x:v>
      </x:c>
      <x:c r="C2" s="7" t="str">
        <x:v>保留每日聚合明细，并额外加工整体区间分布与加权人均值；不包含用户级原始流水。示例完全基于神策已下载 CSV。 </x:v>
      </x:c>
      <x:c r="D2" s="7" t="str">
        <x:v>保留每日聚合明细，并额外加工整体区间分布与加权人均值；不包含用户级原始流水。示例完全基于神策已下载 CSV。 </x:v>
      </x:c>
      <x:c r="E2" s="7" t="str">
        <x:v>保留每日聚合明细，并额外加工整体区间分布与加权人均值；不包含用户级原始流水。示例完全基于神策已下载 CSV。 </x:v>
      </x:c>
      <x:c r="F2" s="7" t="str">
        <x:v>保留每日聚合明细，并额外加工整体区间分布与加权人均值；不包含用户级原始流水。示例完全基于神策已下载 CSV。 </x:v>
      </x:c>
      <x:c r="G2" s="7" t="str">
        <x:v>保留每日聚合明细，并额外加工整体区间分布与加权人均值；不包含用户级原始流水。示例完全基于神策已下载 CSV。 </x:v>
      </x:c>
      <x:c r="H2" s="7" t="str">
        <x:v>保留每日聚合明细，并额外加工整体区间分布与加权人均值；不包含用户级原始流水。示例完全基于神策已下载 CSV。 </x:v>
      </x:c>
    </x:row>
    <x:row r="4" ht="24" customHeight="1">
      <x:c r="A4" s="10" t="str">
        <x:v>导出快照</x:v>
      </x:c>
      <x:c r="B4" s="10" t="str">
        <x:v>导出快照</x:v>
      </x:c>
      <x:c r="C4" s="10" t="str">
        <x:v>导出快照</x:v>
      </x:c>
      <x:c r="D4" s="10" t="str">
        <x:v>导出快照</x:v>
      </x:c>
      <x:c r="E4" s="10" t="str">
        <x:v>导出快照</x:v>
      </x:c>
      <x:c r="F4" s="10" t="str">
        <x:v>导出快照</x:v>
      </x:c>
      <x:c r="G4" s="10" t="str">
        <x:v>导出快照</x:v>
      </x:c>
      <x:c r="H4" s="10" t="str">
        <x:v>导出快照</x:v>
      </x:c>
    </x:row>
    <x:row r="5" ht="32" customHeight="1">
      <x:c r="A5" s="16" t="str">
        <x:v>分析类型</x:v>
      </x:c>
      <x:c r="B5" s="16"/>
      <x:c r="C5" s="26" t="str">
        <x:v>次数分布分析</x:v>
      </x:c>
      <x:c r="D5" s="26"/>
      <x:c r="E5" s="26"/>
      <x:c r="F5" s="26"/>
      <x:c r="G5" s="26"/>
      <x:c r="H5" s="26"/>
    </x:row>
    <x:row r="6" ht="32" customHeight="1">
      <x:c r="A6" s="17" t="str">
        <x:v>源文件</x:v>
      </x:c>
      <x:c r="B6" s="17"/>
      <x:c r="C6" s="27" t="str">
        <x:v>_分布分析_2026-08-31 至 2026-09-02_SensorsAnalytics.csv</x:v>
      </x:c>
      <x:c r="D6" s="27"/>
      <x:c r="E6" s="27"/>
      <x:c r="F6" s="27"/>
      <x:c r="G6" s="27"/>
      <x:c r="H6" s="27"/>
    </x:row>
    <x:row r="7" ht="32" customHeight="1">
      <x:c r="A7" s="17" t="str">
        <x:v>查询周期</x:v>
      </x:c>
      <x:c r="B7" s="17"/>
      <x:c r="C7" s="27" t="str">
        <x:v>2026-08-31 至 2026-09-02</x:v>
      </x:c>
      <x:c r="D7" s="27"/>
      <x:c r="E7" s="27"/>
      <x:c r="F7" s="27"/>
      <x:c r="G7" s="27"/>
      <x:c r="H7" s="27"/>
    </x:row>
    <x:row r="8" ht="32" customHeight="1">
      <x:c r="A8" s="17" t="str">
        <x:v>分析事件/指标</x:v>
      </x:c>
      <x:c r="B8" s="17"/>
      <x:c r="C8" s="27" t="str">
        <x:v>源文件未提供，本示例不补写、不猜测。</x:v>
      </x:c>
      <x:c r="D8" s="27"/>
      <x:c r="E8" s="27"/>
      <x:c r="F8" s="27"/>
      <x:c r="G8" s="27"/>
      <x:c r="H8" s="27"/>
    </x:row>
    <x:row r="9" ht="32" customHeight="1">
      <x:c r="A9" s="17" t="str">
        <x:v>整体人均值</x:v>
      </x:c>
      <x:c r="B9" s="17"/>
      <x:c r="C9" s="27" t="str">
        <x:v>以每日总人数为权重，对源表每日人均值加权；因源表只保留 3 位小数，整体值标记为近似值。</x:v>
      </x:c>
      <x:c r="D9" s="27"/>
      <x:c r="E9" s="27"/>
      <x:c r="F9" s="27"/>
      <x:c r="G9" s="27"/>
      <x:c r="H9" s="27"/>
    </x:row>
    <x:row r="10" ht="32" customHeight="1">
      <x:c r="A10" s="17" t="str">
        <x:v>整体区间占比</x:v>
      </x:c>
      <x:c r="B10" s="17"/>
      <x:c r="C10" s="27" t="str">
        <x:v>区间人数合计 ÷ 用户日合计，使用数值类型输出；不直接求每日占比的算术平均。</x:v>
      </x:c>
      <x:c r="D10" s="27"/>
      <x:c r="E10" s="27"/>
      <x:c r="F10" s="27"/>
      <x:c r="G10" s="27"/>
      <x:c r="H10" s="27"/>
    </x:row>
    <x:row r="11" ht="32" customHeight="1">
      <x:c r="A11" s="17" t="str">
        <x:v>用户去重边界</x:v>
      </x:c>
      <x:c r="B11" s="17"/>
      <x:c r="C11" s="27" t="str">
        <x:v>源文件未说明跨日去重，因此 3 日总量命名为“用户日合计”，不宣称为唯一用户数。</x:v>
      </x:c>
      <x:c r="D11" s="27"/>
      <x:c r="E11" s="27"/>
      <x:c r="F11" s="27"/>
      <x:c r="G11" s="27"/>
      <x:c r="H11" s="27"/>
    </x:row>
    <x:row r="12" ht="32" customHeight="1">
      <x:c r="A12" s="17" t="str">
        <x:v>时区与筛选条件</x:v>
      </x:c>
      <x:c r="B12" s="17"/>
      <x:c r="C12" s="27" t="str">
        <x:v>源文件未提供；正式 YPBI 导出应写入系统真实查询条件。</x:v>
      </x:c>
      <x:c r="D12" s="27"/>
      <x:c r="E12" s="27"/>
      <x:c r="F12" s="27"/>
      <x:c r="G12" s="27"/>
      <x:c r="H12" s="27"/>
    </x:row>
    <x:row r="13" ht="32" customHeight="1">
      <x:c r="A13" s="18" t="str">
        <x:v>数据层级</x:v>
      </x:c>
      <x:c r="B13" s="18"/>
      <x:c r="C13" s="28" t="str">
        <x:v>按日聚合与区间聚合；不生成用户级或事件级原始明细。</x:v>
      </x:c>
      <x:c r="D13" s="28"/>
      <x:c r="E13" s="28"/>
      <x:c r="F13" s="28"/>
      <x:c r="G13" s="28"/>
      <x:c r="H13" s="28"/>
    </x:row>
  </x:sheetData>
  <x:mergeCells>
    <x:mergeCell ref="A1:H1"/>
    <x:mergeCell ref="A2:H2"/>
    <x:mergeCell ref="A4:H4"/>
    <x:mergeCell ref="C5:H5"/>
    <x:mergeCell ref="C6:H6"/>
    <x:mergeCell ref="C7:H7"/>
    <x:mergeCell ref="C8:H8"/>
    <x:mergeCell ref="C9:H9"/>
    <x:mergeCell ref="C10:H10"/>
    <x:mergeCell ref="C11:H11"/>
    <x:mergeCell ref="C12:H12"/>
    <x:mergeCell ref="C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 ht="34" customHeight="1">
      <x:c r="A1" s="3" t="str">
        <x:v>YPBI 分布分析｜关键结果</x:v>
      </x:c>
      <x:c r="B1" s="3" t="str">
        <x:v>YPBI 分布分析｜关键结果</x:v>
      </x:c>
      <x:c r="C1" s="3" t="str">
        <x:v>YPBI 分布分析｜关键结果</x:v>
      </x:c>
      <x:c r="D1" s="3" t="str">
        <x:v>YPBI 分布分析｜关键结果</x:v>
      </x:c>
      <x:c r="E1" s="3" t="str">
        <x:v>YPBI 分布分析｜关键结果</x:v>
      </x:c>
      <x:c r="F1" s="3" t="str">
        <x:v>YPBI 分布分析｜关键结果</x:v>
      </x:c>
      <x:c r="G1" s="3" t="str">
        <x:v>YPBI 分布分析｜关键结果</x:v>
      </x:c>
      <x:c r="H1" s="3" t="str">
        <x:v>YPBI 分布分析｜关键结果</x:v>
      </x:c>
      <x:c r="I1" s="3" t="str">
        <x:v>YPBI 分布分析｜关键结果</x:v>
      </x:c>
      <x:c r="J1" s="3" t="str">
        <x:v>YPBI 分布分析｜关键结果</x:v>
      </x:c>
      <x:c r="K1" s="3" t="str">
        <x:v>YPBI 分布分析｜关键结果</x:v>
      </x:c>
      <x:c r="L1" s="3" t="str">
        <x:v>YPBI 分布分析｜关键结果</x:v>
      </x:c>
    </x:row>
    <x:row r="2" ht="28" customHeight="1">
      <x:c r="A2" s="7" t="str">
        <x:v>关键数字由每日聚合明细继续加工，既能直接阅读，也能追溯到公式与原始聚合行。 </x:v>
      </x:c>
      <x:c r="B2" s="7" t="str">
        <x:v>关键数字由每日聚合明细继续加工，既能直接阅读，也能追溯到公式与原始聚合行。 </x:v>
      </x:c>
      <x:c r="C2" s="7" t="str">
        <x:v>关键数字由每日聚合明细继续加工，既能直接阅读，也能追溯到公式与原始聚合行。 </x:v>
      </x:c>
      <x:c r="D2" s="7" t="str">
        <x:v>关键数字由每日聚合明细继续加工，既能直接阅读，也能追溯到公式与原始聚合行。 </x:v>
      </x:c>
      <x:c r="E2" s="7" t="str">
        <x:v>关键数字由每日聚合明细继续加工，既能直接阅读，也能追溯到公式与原始聚合行。 </x:v>
      </x:c>
      <x:c r="F2" s="7" t="str">
        <x:v>关键数字由每日聚合明细继续加工，既能直接阅读，也能追溯到公式与原始聚合行。 </x:v>
      </x:c>
      <x:c r="G2" s="7" t="str">
        <x:v>关键数字由每日聚合明细继续加工，既能直接阅读，也能追溯到公式与原始聚合行。 </x:v>
      </x:c>
      <x:c r="H2" s="7" t="str">
        <x:v>关键数字由每日聚合明细继续加工，既能直接阅读，也能追溯到公式与原始聚合行。 </x:v>
      </x:c>
      <x:c r="I2" s="7" t="str">
        <x:v>关键数字由每日聚合明细继续加工，既能直接阅读，也能追溯到公式与原始聚合行。 </x:v>
      </x:c>
      <x:c r="J2" s="7" t="str">
        <x:v>关键数字由每日聚合明细继续加工，既能直接阅读，也能追溯到公式与原始聚合行。 </x:v>
      </x:c>
      <x:c r="K2" s="7" t="str">
        <x:v>关键数字由每日聚合明细继续加工，既能直接阅读，也能追溯到公式与原始聚合行。 </x:v>
      </x:c>
      <x:c r="L2" s="7" t="str">
        <x:v>关键数字由每日聚合明细继续加工，既能直接阅读，也能追溯到公式与原始聚合行。 </x:v>
      </x:c>
    </x:row>
    <x:row r="4" ht="26" customHeight="1">
      <x:c r="A4" s="71" t="str">
        <x:v>用户日合计</x:v>
      </x:c>
      <x:c r="B4" s="72" t="str">
        <x:v>用户日合计</x:v>
      </x:c>
      <x:c r="C4" s="73" t="str">
        <x:v>用户日合计</x:v>
      </x:c>
      <x:c r="D4" s="105" t="str">
        <x:v>加权人均次数（近似）</x:v>
      </x:c>
      <x:c r="E4" s="106" t="str">
        <x:v>加权人均次数（近似）</x:v>
      </x:c>
      <x:c r="F4" s="107" t="str">
        <x:v>加权人均次数（近似）</x:v>
      </x:c>
      <x:c r="G4" s="71" t="str">
        <x:v>1≤次数&lt;3 占比</x:v>
      </x:c>
      <x:c r="H4" s="72" t="str">
        <x:v>1≤次数&lt;3 占比</x:v>
      </x:c>
      <x:c r="I4" s="73" t="str">
        <x:v>1≤次数&lt;3 占比</x:v>
      </x:c>
      <x:c r="J4" s="146" t="str">
        <x:v>3≤次数&lt;10 占比</x:v>
      </x:c>
      <x:c r="K4" s="147" t="str">
        <x:v>3≤次数&lt;10 占比</x:v>
      </x:c>
      <x:c r="L4" s="148" t="str">
        <x:v>3≤次数&lt;10 占比</x:v>
      </x:c>
    </x:row>
    <x:row r="5" ht="26" customHeight="1">
      <x:c r="A5" s="92" t="n">
        <x:f>'02_分布聚合明细'!B10</x:f>
        <x:v>2992</x:v>
      </x:c>
      <x:c r="B5" s="93"/>
      <x:c r="C5" s="94"/>
      <x:c r="D5" s="126" t="n">
        <x:f>'02_分布聚合明细'!C10</x:f>
        <x:v>1.375394385026738</x:v>
      </x:c>
      <x:c r="E5" s="127"/>
      <x:c r="F5" s="128"/>
      <x:c r="G5" s="132" t="n">
        <x:f>'02_分布聚合明细'!E10</x:f>
        <x:v>0.93048128342246</x:v>
      </x:c>
      <x:c r="H5" s="133"/>
      <x:c r="I5" s="134"/>
      <x:c r="J5" s="167" t="n">
        <x:f>'02_分布聚合明细'!G10+'02_分布聚合明细'!I10</x:f>
        <x:v>0.06951871657754011</x:v>
      </x:c>
      <x:c r="K5" s="168"/>
      <x:c r="L5" s="169"/>
    </x:row>
    <x:row r="6" ht="26" customHeight="1">
      <x:c r="A6" s="95"/>
      <x:c r="B6" s="96"/>
      <x:c r="C6" s="97"/>
      <x:c r="D6" s="129"/>
      <x:c r="E6" s="130"/>
      <x:c r="F6" s="131"/>
      <x:c r="G6" s="135"/>
      <x:c r="H6" s="136"/>
      <x:c r="I6" s="137"/>
      <x:c r="J6" s="170"/>
      <x:c r="K6" s="171"/>
      <x:c r="L6" s="172"/>
    </x:row>
    <x:row r="9" ht="24" customHeight="1">
      <x:c r="A9" s="10" t="str">
        <x:v>整体区间分布</x:v>
      </x:c>
      <x:c r="B9" s="10" t="str">
        <x:v>整体区间分布</x:v>
      </x:c>
      <x:c r="C9" s="10" t="str">
        <x:v>整体区间分布</x:v>
      </x:c>
      <x:c r="D9" s="10" t="str">
        <x:v>整体区间分布</x:v>
      </x:c>
    </x:row>
    <x:row r="10" ht="34" customHeight="1">
      <x:c r="A10" s="34" t="str">
        <x:v>次数区间</x:v>
      </x:c>
      <x:c r="B10" s="34" t="str">
        <x:v>用户日数</x:v>
      </x:c>
      <x:c r="C10" s="34" t="str">
        <x:v>整体占比</x:v>
      </x:c>
    </x:row>
    <x:row r="11">
      <x:c r="A11" s="39" t="str">
        <x:v>1≤次数&lt;3</x:v>
      </x:c>
      <x:c r="B11" s="45" t="n">
        <x:f>'03_区间汇总'!B6</x:f>
        <x:v>2784</x:v>
      </x:c>
      <x:c r="C11" s="51" t="n">
        <x:f>'03_区间汇总'!C6</x:f>
        <x:v>0.93048128342246</x:v>
      </x:c>
    </x:row>
    <x:row r="12">
      <x:c r="A12" s="40" t="str">
        <x:v>3≤次数&lt;5</x:v>
      </x:c>
      <x:c r="B12" s="46" t="n">
        <x:f>'03_区间汇总'!B7</x:f>
        <x:v>205</x:v>
      </x:c>
      <x:c r="C12" s="52" t="n">
        <x:f>'03_区间汇总'!C7</x:f>
        <x:v>0.06851604278074866</x:v>
      </x:c>
    </x:row>
    <x:row r="13">
      <x:c r="A13" s="41" t="str">
        <x:v>5≤次数&lt;10</x:v>
      </x:c>
      <x:c r="B13" s="47" t="n">
        <x:f>'03_区间汇总'!B8</x:f>
        <x:v>3</x:v>
      </x:c>
      <x:c r="C13" s="53" t="n">
        <x:f>'03_区间汇总'!C8</x:f>
        <x:v>0.001002673796791444</x:v>
      </x:c>
    </x:row>
    <x:row r="17" ht="28" customHeight="1">
      <x:c r="A17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B17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C17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D17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E17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F17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G17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H17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I17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J17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K17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L17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</x:row>
    <x:row r="18" ht="28" customHeight="1">
      <x:c r="A18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B18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C18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D18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E18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F18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G18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H18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I18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J18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K18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L18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</x:row>
    <x:row r="19" ht="28" customHeight="1">
      <x:c r="A19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B19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C19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D19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E19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F19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G19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H19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I19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J19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K19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  <x:c r="L19" s="175" t="str">
        <x:v>阅读提示：整体人均次数是以每日人数加权的近似值；整体区间占比使用区间人数重新计算，不对每日百分比做简单平均。跨日用户是否去重无法从源文件确认，因此总量明确命名为“用户日合计”。</x:v>
      </x:c>
    </x:row>
  </x:sheetData>
  <x:mergeCells>
    <x:mergeCell ref="A1:L1"/>
    <x:mergeCell ref="A2:L2"/>
    <x:mergeCell ref="A4:C4"/>
    <x:mergeCell ref="A5:C6"/>
    <x:mergeCell ref="D4:F4"/>
    <x:mergeCell ref="D5:F6"/>
    <x:mergeCell ref="G4:I4"/>
    <x:mergeCell ref="G5:I6"/>
    <x:mergeCell ref="J4:L4"/>
    <x:mergeCell ref="J5:L6"/>
    <x:mergeCell ref="A9:D9"/>
    <x:mergeCell ref="A17:L19"/>
  </x:mergeCells>
  <x:pageMargins left="0.7" right="0.7" top="0.75" bottom="0.75" header="0.3" footer="0.3"/>
  <x:drawing xmlns:r="http://schemas.openxmlformats.org/officeDocument/2006/relationships" r:id="R90c6e01b6da04df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3" hidden="0" customWidth="1"/>
    <x:col min="4" max="4" width="18" hidden="0" customWidth="1"/>
    <x:col min="5" max="5" width="11" hidden="0" customWidth="1"/>
    <x:col min="6" max="6" width="18" hidden="0" customWidth="1"/>
    <x:col min="7" max="7" width="11" hidden="0" customWidth="1"/>
    <x:col min="8" max="8" width="19" hidden="0" customWidth="1"/>
    <x:col min="9" max="9" width="11" hidden="0" customWidth="1"/>
  </x:cols>
  <x:sheetData>
    <x:row r="1" ht="34" customHeight="1">
      <x:c r="A1" s="3" t="str">
        <x:v>分布聚合明细</x:v>
      </x:c>
      <x:c r="B1" s="3" t="str">
        <x:v>分布聚合明细</x:v>
      </x:c>
      <x:c r="C1" s="3" t="str">
        <x:v>分布聚合明细</x:v>
      </x:c>
      <x:c r="D1" s="3" t="str">
        <x:v>分布聚合明细</x:v>
      </x:c>
      <x:c r="E1" s="3" t="str">
        <x:v>分布聚合明细</x:v>
      </x:c>
      <x:c r="F1" s="3" t="str">
        <x:v>分布聚合明细</x:v>
      </x:c>
      <x:c r="G1" s="3" t="str">
        <x:v>分布聚合明细</x:v>
      </x:c>
      <x:c r="H1" s="3" t="str">
        <x:v>分布聚合明细</x:v>
      </x:c>
      <x:c r="I1" s="3" t="str">
        <x:v>分布聚合明细</x:v>
      </x:c>
    </x:row>
    <x:row r="2" ht="28" customHeight="1">
      <x:c r="A2" s="7" t="str">
        <x:v>源文件中的每日聚合结果保持为可计算的日期、数值与百分比；底部为公式加工的整体结果。 </x:v>
      </x:c>
      <x:c r="B2" s="7" t="str">
        <x:v>源文件中的每日聚合结果保持为可计算的日期、数值与百分比；底部为公式加工的整体结果。 </x:v>
      </x:c>
      <x:c r="C2" s="7" t="str">
        <x:v>源文件中的每日聚合结果保持为可计算的日期、数值与百分比；底部为公式加工的整体结果。 </x:v>
      </x:c>
      <x:c r="D2" s="7" t="str">
        <x:v>源文件中的每日聚合结果保持为可计算的日期、数值与百分比；底部为公式加工的整体结果。 </x:v>
      </x:c>
      <x:c r="E2" s="7" t="str">
        <x:v>源文件中的每日聚合结果保持为可计算的日期、数值与百分比；底部为公式加工的整体结果。 </x:v>
      </x:c>
      <x:c r="F2" s="7" t="str">
        <x:v>源文件中的每日聚合结果保持为可计算的日期、数值与百分比；底部为公式加工的整体结果。 </x:v>
      </x:c>
      <x:c r="G2" s="7" t="str">
        <x:v>源文件中的每日聚合结果保持为可计算的日期、数值与百分比；底部为公式加工的整体结果。 </x:v>
      </x:c>
      <x:c r="H2" s="7" t="str">
        <x:v>源文件中的每日聚合结果保持为可计算的日期、数值与百分比；底部为公式加工的整体结果。 </x:v>
      </x:c>
      <x:c r="I2" s="7" t="str">
        <x:v>源文件中的每日聚合结果保持为可计算的日期、数值与百分比；底部为公式加工的整体结果。 </x:v>
      </x:c>
    </x:row>
    <x:row r="5" ht="34" customHeight="1">
      <x:c r="A5" s="34" t="str">
        <x:v>用户行为日期</x:v>
      </x:c>
      <x:c r="B5" s="34" t="str">
        <x:v>总人数</x:v>
      </x:c>
      <x:c r="C5" s="34" t="str">
        <x:v>人均次数</x:v>
      </x:c>
      <x:c r="D5" s="34" t="str">
        <x:v>1≤次数&lt;3 人数</x:v>
      </x:c>
      <x:c r="E5" s="34" t="str">
        <x:v>占比</x:v>
      </x:c>
      <x:c r="F5" s="34" t="str">
        <x:v>3≤次数&lt;5 人数</x:v>
      </x:c>
      <x:c r="G5" s="34" t="str">
        <x:v>占比</x:v>
      </x:c>
      <x:c r="H5" s="34" t="str">
        <x:v>5≤次数&lt;10 人数</x:v>
      </x:c>
      <x:c r="I5" s="34" t="str">
        <x:v>占比</x:v>
      </x:c>
    </x:row>
    <x:row r="6" ht="25" customHeight="1">
      <x:c r="A6" s="42" t="n">
        <x:v>46265</x:v>
      </x:c>
      <x:c r="B6" s="45" t="n">
        <x:v>1011</x:v>
      </x:c>
      <x:c r="C6" s="48" t="n">
        <x:v>1.379</x:v>
      </x:c>
      <x:c r="D6" s="45" t="n">
        <x:v>942</x:v>
      </x:c>
      <x:c r="E6" s="51" t="n">
        <x:v>0.9318000000000001</x:v>
      </x:c>
      <x:c r="F6" s="45" t="n">
        <x:v>69</x:v>
      </x:c>
      <x:c r="G6" s="51" t="n">
        <x:v>0.0682</x:v>
      </x:c>
      <x:c r="H6" s="45" t="n">
        <x:v>0</x:v>
      </x:c>
      <x:c r="I6" s="51" t="n">
        <x:v>0</x:v>
      </x:c>
    </x:row>
    <x:row r="7" ht="25" customHeight="1">
      <x:c r="A7" s="43" t="n">
        <x:v>46266</x:v>
      </x:c>
      <x:c r="B7" s="46" t="n">
        <x:v>988</x:v>
      </x:c>
      <x:c r="C7" s="49" t="n">
        <x:v>1.352</x:v>
      </x:c>
      <x:c r="D7" s="46" t="n">
        <x:v>929</x:v>
      </x:c>
      <x:c r="E7" s="52" t="n">
        <x:v>0.9403</x:v>
      </x:c>
      <x:c r="F7" s="46" t="n">
        <x:v>59</x:v>
      </x:c>
      <x:c r="G7" s="52" t="n">
        <x:v>0.059699999999999996</x:v>
      </x:c>
      <x:c r="H7" s="46" t="n">
        <x:v>0</x:v>
      </x:c>
      <x:c r="I7" s="52" t="n">
        <x:v>0</x:v>
      </x:c>
    </x:row>
    <x:row r="8" ht="25" customHeight="1">
      <x:c r="A8" s="44" t="n">
        <x:v>46267</x:v>
      </x:c>
      <x:c r="B8" s="47" t="n">
        <x:v>993</x:v>
      </x:c>
      <x:c r="C8" s="50" t="n">
        <x:v>1.395</x:v>
      </x:c>
      <x:c r="D8" s="47" t="n">
        <x:v>913</x:v>
      </x:c>
      <x:c r="E8" s="53" t="n">
        <x:v>0.9194</x:v>
      </x:c>
      <x:c r="F8" s="47" t="n">
        <x:v>77</x:v>
      </x:c>
      <x:c r="G8" s="53" t="n">
        <x:v>0.0775</x:v>
      </x:c>
      <x:c r="H8" s="47" t="n">
        <x:v>3</x:v>
      </x:c>
      <x:c r="I8" s="53" t="n">
        <x:v>0.003</x:v>
      </x:c>
    </x:row>
    <x:row r="9" ht="25" customHeight="1"/>
    <x:row r="10" ht="25" customHeight="1">
      <x:c r="A10" s="56" t="str">
        <x:v>整体（公式加工）</x:v>
      </x:c>
      <x:c r="B10" s="57" t="n">
        <x:f>SUM(B6:B8)</x:f>
        <x:v>2992</x:v>
      </x:c>
      <x:c r="C10" s="58" t="n">
        <x:f>(B6*C6+B7*C7+B8*C8)/B10</x:f>
        <x:v>1.375394385026738</x:v>
      </x:c>
      <x:c r="D10" s="57" t="n">
        <x:f>SUM(D6:D8)</x:f>
        <x:v>2784</x:v>
      </x:c>
      <x:c r="E10" s="59" t="n">
        <x:f>D10/B10</x:f>
        <x:v>0.93048128342246</x:v>
      </x:c>
      <x:c r="F10" s="57" t="n">
        <x:f>SUM(F6:F8)</x:f>
        <x:v>205</x:v>
      </x:c>
      <x:c r="G10" s="59" t="n">
        <x:f>F10/B10</x:f>
        <x:v>0.06851604278074866</x:v>
      </x:c>
      <x:c r="H10" s="57" t="n">
        <x:f>SUM(H6:H8)</x:f>
        <x:v>3</x:v>
      </x:c>
      <x:c r="I10" s="59" t="n">
        <x:f>H10/B10</x:f>
        <x:v>0.001002673796791444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15" hidden="0" customWidth="1"/>
    <x:col min="4" max="4" width="38" hidden="0" customWidth="1"/>
  </x:cols>
  <x:sheetData>
    <x:row r="1" ht="34" customHeight="1">
      <x:c r="A1" s="3" t="str">
        <x:v>区间汇总</x:v>
      </x:c>
      <x:c r="B1" s="3" t="str">
        <x:v>区间汇总</x:v>
      </x:c>
      <x:c r="C1" s="3" t="str">
        <x:v>区间汇总</x:v>
      </x:c>
      <x:c r="D1" s="3" t="str">
        <x:v>区间汇总</x:v>
      </x:c>
    </x:row>
    <x:row r="2" ht="28" customHeight="1">
      <x:c r="A2" s="7" t="str">
        <x:v>把每日分布加工为跨周期整体分布；用户日数与占比均通过公式引用聚合明细。 </x:v>
      </x:c>
      <x:c r="B2" s="7" t="str">
        <x:v>把每日分布加工为跨周期整体分布；用户日数与占比均通过公式引用聚合明细。 </x:v>
      </x:c>
      <x:c r="C2" s="7" t="str">
        <x:v>把每日分布加工为跨周期整体分布；用户日数与占比均通过公式引用聚合明细。 </x:v>
      </x:c>
      <x:c r="D2" s="7" t="str">
        <x:v>把每日分布加工为跨周期整体分布；用户日数与占比均通过公式引用聚合明细。 </x:v>
      </x:c>
    </x:row>
    <x:row r="5" ht="34" customHeight="1">
      <x:c r="A5" s="34" t="str">
        <x:v>次数区间</x:v>
      </x:c>
      <x:c r="B5" s="34" t="str">
        <x:v>用户日数</x:v>
      </x:c>
      <x:c r="C5" s="34" t="str">
        <x:v>整体占比</x:v>
      </x:c>
      <x:c r="D5" s="34" t="str">
        <x:v>加工说明</x:v>
      </x:c>
    </x:row>
    <x:row r="6" ht="26" customHeight="1">
      <x:c r="A6" s="39" t="str">
        <x:v>1≤次数&lt;3</x:v>
      </x:c>
      <x:c r="B6" s="45" t="n">
        <x:f>'02_分布聚合明细'!D10</x:f>
        <x:v>2784</x:v>
      </x:c>
      <x:c r="C6" s="51" t="n">
        <x:f>'02_分布聚合明细'!E10</x:f>
        <x:v>0.93048128342246</x:v>
      </x:c>
      <x:c r="D6" s="39" t="str">
        <x:v>每日区间人数求和</x:v>
      </x:c>
    </x:row>
    <x:row r="7" ht="26" customHeight="1">
      <x:c r="A7" s="40" t="str">
        <x:v>3≤次数&lt;5</x:v>
      </x:c>
      <x:c r="B7" s="46" t="n">
        <x:f>'02_分布聚合明细'!F10</x:f>
        <x:v>205</x:v>
      </x:c>
      <x:c r="C7" s="52" t="n">
        <x:f>'02_分布聚合明细'!G10</x:f>
        <x:v>0.06851604278074866</x:v>
      </x:c>
      <x:c r="D7" s="40" t="str">
        <x:v>每日区间人数求和</x:v>
      </x:c>
    </x:row>
    <x:row r="8" ht="26" customHeight="1">
      <x:c r="A8" s="41" t="str">
        <x:v>5≤次数&lt;10</x:v>
      </x:c>
      <x:c r="B8" s="47" t="n">
        <x:f>'02_分布聚合明细'!H10</x:f>
        <x:v>3</x:v>
      </x:c>
      <x:c r="C8" s="53" t="n">
        <x:f>'02_分布聚合明细'!I10</x:f>
        <x:v>0.001002673796791444</x:v>
      </x:c>
      <x:c r="D8" s="41" t="str">
        <x:v>每日区间人数求和</x:v>
      </x:c>
    </x:row>
    <x:row r="9" ht="26" customHeight="1"/>
    <x:row r="10" ht="26" customHeight="1">
      <x:c r="A10" s="61" t="str">
        <x:v>合计</x:v>
      </x:c>
      <x:c r="B10" s="62" t="n">
        <x:f>SUM(B6:B8)</x:f>
        <x:v>2992</x:v>
      </x:c>
      <x:c r="C10" s="63" t="n">
        <x:f>SUM(C6:C8)</x:f>
        <x:v>1</x:v>
      </x:c>
      <x:c r="D10" s="61" t="str">
        <x:v>三段区间在本样本中覆盖全部用户日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8" hidden="0" customWidth="1"/>
    <x:col min="3" max="3" width="12" hidden="0" customWidth="1"/>
    <x:col min="4" max="4" width="42" hidden="0" customWidth="1"/>
    <x:col min="5" max="5" width="42" hidden="0" customWidth="1"/>
  </x:cols>
  <x:sheetData>
    <x:row r="1" ht="34" customHeight="1">
      <x:c r="A1" s="3" t="str">
        <x:v>异常与限制</x:v>
      </x:c>
      <x:c r="B1" s="3" t="str">
        <x:v>异常与限制</x:v>
      </x:c>
      <x:c r="C1" s="3" t="str">
        <x:v>异常与限制</x:v>
      </x:c>
      <x:c r="D1" s="3" t="str">
        <x:v>异常与限制</x:v>
      </x:c>
      <x:c r="E1" s="3" t="str">
        <x:v>异常与限制</x:v>
      </x:c>
    </x:row>
    <x:row r="2" ht="28" customHeight="1">
      <x:c r="A2" s="7" t="str">
        <x:v>明确记录查询元数据、口径与明细能力的边界；没有真实能力时不补空表、不制造数据。 </x:v>
      </x:c>
      <x:c r="B2" s="7" t="str">
        <x:v>明确记录查询元数据、口径与明细能力的边界；没有真实能力时不补空表、不制造数据。 </x:v>
      </x:c>
      <x:c r="C2" s="7" t="str">
        <x:v>明确记录查询元数据、口径与明细能力的边界；没有真实能力时不补空表、不制造数据。 </x:v>
      </x:c>
      <x:c r="D2" s="7" t="str">
        <x:v>明确记录查询元数据、口径与明细能力的边界；没有真实能力时不补空表、不制造数据。 </x:v>
      </x:c>
      <x:c r="E2" s="7" t="str">
        <x:v>明确记录查询元数据、口径与明细能力的边界；没有真实能力时不补空表、不制造数据。 </x:v>
      </x:c>
    </x:row>
    <x:row r="5" ht="34" customHeight="1">
      <x:c r="A5" s="34" t="str">
        <x:v>事项</x:v>
      </x:c>
      <x:c r="B5" s="34" t="str">
        <x:v>影响范围</x:v>
      </x:c>
      <x:c r="C5" s="34" t="str">
        <x:v>状态</x:v>
      </x:c>
      <x:c r="D5" s="34" t="str">
        <x:v>本示例处理</x:v>
      </x:c>
      <x:c r="E5" s="34" t="str">
        <x:v>正式 YPBI 要求</x:v>
      </x:c>
    </x:row>
    <x:row r="6" ht="44" customHeight="1">
      <x:c r="A6" s="185" t="str">
        <x:v>事件/指标名称缺失</x:v>
      </x:c>
      <x:c r="B6" s="185" t="str">
        <x:v>查询快照</x:v>
      </x:c>
      <x:c r="C6" s="186" t="str">
        <x:v>缺失</x:v>
      </x:c>
      <x:c r="D6" s="185" t="str">
        <x:v>明确写“源文件未提供”</x:v>
      </x:c>
      <x:c r="E6" s="185" t="str">
        <x:v>接口返回真实分析对象</x:v>
      </x:c>
    </x:row>
    <x:row r="7" ht="44" customHeight="1">
      <x:c r="A7" s="187" t="str">
        <x:v>跨日去重规则缺失</x:v>
      </x:c>
      <x:c r="B7" s="187" t="str">
        <x:v>3 日总人数</x:v>
      </x:c>
      <x:c r="C7" s="188" t="str">
        <x:v>未知</x:v>
      </x:c>
      <x:c r="D7" s="187" t="str">
        <x:v>命名为“用户日合计”，不宣称唯一用户</x:v>
      </x:c>
      <x:c r="E7" s="187" t="str">
        <x:v>导出明确去重主键与范围</x:v>
      </x:c>
    </x:row>
    <x:row r="8" ht="44" customHeight="1">
      <x:c r="A8" s="187" t="str">
        <x:v>每日人均值仅 3 位小数</x:v>
      </x:c>
      <x:c r="B8" s="187" t="str">
        <x:v>整体人均值</x:v>
      </x:c>
      <x:c r="C8" s="188" t="str">
        <x:v>近似</x:v>
      </x:c>
      <x:c r="D8" s="187" t="str">
        <x:v>按每日人数加权并标记“近似”</x:v>
      </x:c>
      <x:c r="E8" s="187" t="str">
        <x:v>优先使用服务端未舍入聚合值</x:v>
      </x:c>
    </x:row>
    <x:row r="9" ht="44" customHeight="1">
      <x:c r="A9" s="187" t="str">
        <x:v>每日占比存在四舍五入残差</x:v>
      </x:c>
      <x:c r="B9" s="187" t="str">
        <x:v>如 2026-09-02 合计 99.99%</x:v>
      </x:c>
      <x:c r="C9" s="188" t="str">
        <x:v>已处理</x:v>
      </x:c>
      <x:c r="D9" s="187" t="str">
        <x:v>整体占比由人数重新计算</x:v>
      </x:c>
      <x:c r="E9" s="187" t="str">
        <x:v>数值计算用原始精度，展示再格式化</x:v>
      </x:c>
    </x:row>
    <x:row r="10" ht="44" customHeight="1">
      <x:c r="A10" s="189" t="str">
        <x:v>用户/事件原始流水</x:v>
      </x:c>
      <x:c r="B10" s="189" t="str">
        <x:v>明细层</x:v>
      </x:c>
      <x:c r="C10" s="190" t="str">
        <x:v>未提供</x:v>
      </x:c>
      <x:c r="D10" s="189" t="str">
        <x:v>不生成空表或模拟数据</x:v>
      </x:c>
      <x:c r="E10" s="189" t="str">
        <x:v>仅接口与权限均支持时提供</x:v>
      </x:c>
    </x:row>
  </x:sheetData>
  <x:mergeCells>
    <x:mergeCell ref="A1:E1"/>
    <x:mergeCell ref="A2:E2"/>
  </x:mergeCells>
  <x:pageMargins left="0.7" right="0.7" top="0.75" bottom="0.75" header="0.3" footer="0.3"/>
</x:worksheet>
</file>